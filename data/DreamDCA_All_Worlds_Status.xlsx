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TC" sheetId="2" state="visible" r:id="rId4"/>
    <sheet name="ONDO" sheetId="3" state="visible" r:id="rId5"/>
    <sheet name="BIO" sheetId="4" state="visible" r:id="rId6"/>
    <sheet name="SOL" sheetId="5" state="visible" r:id="rId7"/>
    <sheet name="LINK" sheetId="6" state="visible" r:id="rId8"/>
    <sheet name="REND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<sst xmlns="http://schemas.openxmlformats.org/spreadsheetml/2006/main" count="415" uniqueCount="191">
  <si>
    <t xml:space="preserve">Dream DCA — สถานะทุกโลก (จาก Binance Spot Trade History 2 ไฟล์)</t>
  </si>
  <si>
    <t xml:space="preserve">Spot trades เท่านั้น · ไม่ใช่ยอด Wallet · ช่วง 2023-12-31 ถึง 2026-08-10 (UTC+10)</t>
  </si>
  <si>
    <t xml:space="preserve">Coin</t>
  </si>
  <si>
    <t xml:space="preserve">โลกในเกม</t>
  </si>
  <si>
    <t xml:space="preserve">Net holdings</t>
  </si>
  <si>
    <t xml:space="preserve">เป้าหมาย</t>
  </si>
  <si>
    <t xml:space="preserve">ความคืบหน้า</t>
  </si>
  <si>
    <t xml:space="preserve">เงินซื้อรวม (USDT)</t>
  </si>
  <si>
    <t xml:space="preserve">เงินขายรวม</t>
  </si>
  <si>
    <t xml:space="preserve">เงินสดที่จมอยู่</t>
  </si>
  <si>
    <t xml:space="preserve">ราคาเฉลี่ยซื้อ</t>
  </si>
  <si>
    <t xml:space="preserve">BTC</t>
  </si>
  <si>
    <t xml:space="preserve">BTC Homestead</t>
  </si>
  <si>
    <t xml:space="preserve">ONDO</t>
  </si>
  <si>
    <t xml:space="preserve">Business City</t>
  </si>
  <si>
    <t xml:space="preserve">BIO</t>
  </si>
  <si>
    <t xml:space="preserve">Research Laboratory</t>
  </si>
  <si>
    <t xml:space="preserve">SOL</t>
  </si>
  <si>
    <t xml:space="preserve">Technology City</t>
  </si>
  <si>
    <t xml:space="preserve">LINK</t>
  </si>
  <si>
    <t xml:space="preserve">Network / Infrastructure</t>
  </si>
  <si>
    <t xml:space="preserve">RENDER</t>
  </si>
  <si>
    <t xml:space="preserve">ยังไม่มีโลก</t>
  </si>
  <si>
    <t xml:space="preserve">—</t>
  </si>
  <si>
    <t xml:space="preserve">AAVE</t>
  </si>
  <si>
    <t xml:space="preserve">Lending Castle</t>
  </si>
  <si>
    <t xml:space="preserve">ไม่พบใน Spot Trade History ทั้งสองไฟล์</t>
  </si>
  <si>
    <t xml:space="preserve">PENDLE</t>
  </si>
  <si>
    <t xml:space="preserve">Time / Harvest World</t>
  </si>
  <si>
    <t xml:space="preserve">CC / Canton</t>
  </si>
  <si>
    <t xml:space="preserve">Financial Network City</t>
  </si>
  <si>
    <t xml:space="preserve">รวมทั้งหมด</t>
  </si>
  <si>
    <t xml:space="preserve">สิ่งที่ข้อมูลบอก</t>
  </si>
  <si>
    <t xml:space="preserve">1. BTC — โลกหลักของเกม — มี Spot trade เพียง 1 รายการ: 2026-02-19 ซื้อ 0.00014 BTC เป็นเงิน $9.34 คิดเป็น 0.07% ของเป้า 0.2 BTC</t>
  </si>
  <si>
    <t xml:space="preserve">2. ตัวเลข 0.0418 BTC / 20.9% ใน mockup เป็นข้อมูลสมมติ ไม่ได้มาจากไฟล์นี้</t>
  </si>
  <si>
    <t xml:space="preserve">3. ถ้ามี BTC จริงที่อื่น (Convert / Earn / กระเป๋าเย็น / exchange อื่น) ต้องหาแหล่งนั้นก่อน ไม่งั้นโลก BTC จะเริ่มจากศูนย์</t>
  </si>
  <si>
    <t xml:space="preserve">4. ONDO และ BIO คือสองโลกที่คืบหน้าที่สุด (54.9% และ 76.9%) และเป็นที่ที่เงินอยู่จริง ($7,665 และ $6,292)</t>
  </si>
  <si>
    <t xml:space="preserve">5. BIO ขายออกไปแล้ว 15,506 เหรียญ ได้กำไรจริง $1,360.91 ทำให้ต้นทุนเงินสดจริงเหลือ $0.02606443 ต่อเหรียญ</t>
  </si>
  <si>
    <t xml:space="preserve">6. AAVE, PENDLE, CC ยังไม่มีข้อมูลเลย</t>
  </si>
  <si>
    <t xml:space="preserve">7. RENDER มีอยู่ 180.9 เหรียญ แต่ยังไม่ได้กำหนดโลกและเป้าหมาย</t>
  </si>
  <si>
    <t xml:space="preserve">BTC — BTC Homestead</t>
  </si>
  <si>
    <t xml:space="preserve">Source: Binance_ONDO_BIO_BTC_Trade_Summary.pdf · Binance Spot Trade History · 2023-12-31 to 2026-08-10 (UTC+10)</t>
  </si>
  <si>
    <t xml:space="preserve">Date</t>
  </si>
  <si>
    <t xml:space="preserve">Side</t>
  </si>
  <si>
    <t xml:space="preserve">Price (USDT)</t>
  </si>
  <si>
    <t xml:space="preserve">Qty</t>
  </si>
  <si>
    <t xml:space="preserve">Amount (USDT)</t>
  </si>
  <si>
    <t xml:space="preserve">Fee (as charged)</t>
  </si>
  <si>
    <t xml:space="preserve">Fills</t>
  </si>
  <si>
    <t xml:space="preserve">2026-02-19</t>
  </si>
  <si>
    <t xml:space="preserve">BUY</t>
  </si>
  <si>
    <t xml:space="preserve">0.00000014 BTC</t>
  </si>
  <si>
    <t xml:space="preserve">สรุป</t>
  </si>
  <si>
    <t xml:space="preserve">Buy qty</t>
  </si>
  <si>
    <t xml:space="preserve">Buy USDT</t>
  </si>
  <si>
    <t xml:space="preserve">ราคาเฉลี่ยซื้อ (weighted)</t>
  </si>
  <si>
    <t xml:space="preserve">Sell qty</t>
  </si>
  <si>
    <t xml:space="preserve">Sell USDT</t>
  </si>
  <si>
    <t xml:space="preserve">ราคาเฉลี่ยขาย</t>
  </si>
  <si>
    <t xml:space="preserve">Net qty (ก่อน fee)</t>
  </si>
  <si>
    <t xml:space="preserve">Net holdings (ตาม PDF ต้นทาง)</t>
  </si>
  <si>
    <t xml:space="preserve">เงินสดที่ยังจมอยู่ (ซื้อ - ขาย)</t>
  </si>
  <si>
    <t xml:space="preserve">เป้าหมาย (0.2 BTC)</t>
  </si>
  <si>
    <t xml:space="preserve">น้ำเงิน = ตัวเลขจาก PDF · ดำ = สูตร · Net holdings ไม่ใช่ยอด Wallet (ไม่รวม Convert/Earn/Transfer/Reward)</t>
  </si>
  <si>
    <t xml:space="preserve">ONDO — Business City</t>
  </si>
  <si>
    <t xml:space="preserve">2025-06-23</t>
  </si>
  <si>
    <t xml:space="preserve">0.2273 ONDO</t>
  </si>
  <si>
    <t xml:space="preserve">2025-10-14</t>
  </si>
  <si>
    <t xml:space="preserve">0.3797 ONDO</t>
  </si>
  <si>
    <t xml:space="preserve">2025-11-10</t>
  </si>
  <si>
    <t xml:space="preserve">0.395 ONDO</t>
  </si>
  <si>
    <t xml:space="preserve">2025-11-20</t>
  </si>
  <si>
    <t xml:space="preserve">0.3 ONDO</t>
  </si>
  <si>
    <t xml:space="preserve">2025-12-08</t>
  </si>
  <si>
    <t xml:space="preserve">0.1118 ONDO</t>
  </si>
  <si>
    <t xml:space="preserve">0.0882 ONDO</t>
  </si>
  <si>
    <t xml:space="preserve">2025-12-22</t>
  </si>
  <si>
    <t xml:space="preserve">0.5233 ONDO</t>
  </si>
  <si>
    <t xml:space="preserve">0.0399 ONDO</t>
  </si>
  <si>
    <t xml:space="preserve">2025-12-23</t>
  </si>
  <si>
    <t xml:space="preserve">0.202 ONDO</t>
  </si>
  <si>
    <t xml:space="preserve">0.8315 ONDO</t>
  </si>
  <si>
    <t xml:space="preserve">2026-01-05</t>
  </si>
  <si>
    <t xml:space="preserve">0.2961 ONDO</t>
  </si>
  <si>
    <t xml:space="preserve">0.7039 ONDO</t>
  </si>
  <si>
    <t xml:space="preserve">2026-01-06</t>
  </si>
  <si>
    <t xml:space="preserve">1 ONDO</t>
  </si>
  <si>
    <t xml:space="preserve">2026-01-15</t>
  </si>
  <si>
    <t xml:space="preserve">0.0201 ONDO</t>
  </si>
  <si>
    <t xml:space="preserve">0.182 ONDO</t>
  </si>
  <si>
    <t xml:space="preserve">2026-01-19</t>
  </si>
  <si>
    <t xml:space="preserve">0.9361 ONDO</t>
  </si>
  <si>
    <t xml:space="preserve">2026-01-20</t>
  </si>
  <si>
    <t xml:space="preserve">3.093 ONDO</t>
  </si>
  <si>
    <t xml:space="preserve">2026-01-28</t>
  </si>
  <si>
    <t xml:space="preserve">0.7599 ONDO</t>
  </si>
  <si>
    <t xml:space="preserve">2026-02-10</t>
  </si>
  <si>
    <t xml:space="preserve">0.417 ONDO</t>
  </si>
  <si>
    <t xml:space="preserve">2026-02-20</t>
  </si>
  <si>
    <t xml:space="preserve">3.8878 ONDO</t>
  </si>
  <si>
    <t xml:space="preserve">2026-03-18</t>
  </si>
  <si>
    <t xml:space="preserve">3 ONDO</t>
  </si>
  <si>
    <t xml:space="preserve">2026-06-04</t>
  </si>
  <si>
    <t xml:space="preserve">1.6122 ONDO</t>
  </si>
  <si>
    <t xml:space="preserve">2026-06-11</t>
  </si>
  <si>
    <t xml:space="preserve">0.5883 ONDO</t>
  </si>
  <si>
    <t xml:space="preserve">0.5753 ONDO</t>
  </si>
  <si>
    <t xml:space="preserve">2026-08-07</t>
  </si>
  <si>
    <t xml:space="preserve">0.805 ONDO</t>
  </si>
  <si>
    <t xml:space="preserve">เป้าหมาย (40,000 ONDO)</t>
  </si>
  <si>
    <t xml:space="preserve">BIO — Research Laboratory</t>
  </si>
  <si>
    <t xml:space="preserve">2025-04-30</t>
  </si>
  <si>
    <t xml:space="preserve">0.9059 BIO</t>
  </si>
  <si>
    <t xml:space="preserve">9.0941 BIO</t>
  </si>
  <si>
    <t xml:space="preserve">2025-06-25</t>
  </si>
  <si>
    <t xml:space="preserve">15.0224 BIO</t>
  </si>
  <si>
    <t xml:space="preserve">2025-07-08</t>
  </si>
  <si>
    <t xml:space="preserve">0.4594 BIO</t>
  </si>
  <si>
    <t xml:space="preserve">2025-08-20</t>
  </si>
  <si>
    <t xml:space="preserve">SELL</t>
  </si>
  <si>
    <t xml:space="preserve">1.666431 USDT</t>
  </si>
  <si>
    <t xml:space="preserve">2025-08-25</t>
  </si>
  <si>
    <t xml:space="preserve">0.61998318 USDT</t>
  </si>
  <si>
    <t xml:space="preserve">4.625 BIO</t>
  </si>
  <si>
    <t xml:space="preserve">2.5094 BIO</t>
  </si>
  <si>
    <t xml:space="preserve">7.5882 BIO</t>
  </si>
  <si>
    <t xml:space="preserve">2025-12-09</t>
  </si>
  <si>
    <t xml:space="preserve">4.8 BIO</t>
  </si>
  <si>
    <t xml:space="preserve">9.5238 BIO</t>
  </si>
  <si>
    <t xml:space="preserve">2026-01-01</t>
  </si>
  <si>
    <t xml:space="preserve">0.356 BIO</t>
  </si>
  <si>
    <t xml:space="preserve">2026-03-04</t>
  </si>
  <si>
    <t xml:space="preserve">4.0865 BIO</t>
  </si>
  <si>
    <t xml:space="preserve">17.9219 BIO</t>
  </si>
  <si>
    <t xml:space="preserve">2026-05-25</t>
  </si>
  <si>
    <t xml:space="preserve">1.8114 BIO</t>
  </si>
  <si>
    <t xml:space="preserve">0.3216 BIO</t>
  </si>
  <si>
    <t xml:space="preserve">2026-06-10</t>
  </si>
  <si>
    <t xml:space="preserve">7.9156 BIO</t>
  </si>
  <si>
    <t xml:space="preserve">7.2384 BIO</t>
  </si>
  <si>
    <t xml:space="preserve">2026-06-15</t>
  </si>
  <si>
    <t xml:space="preserve">3.6572 BIO</t>
  </si>
  <si>
    <t xml:space="preserve">2026-06-16</t>
  </si>
  <si>
    <t xml:space="preserve">11.5062 BIO</t>
  </si>
  <si>
    <t xml:space="preserve">2026-06-20</t>
  </si>
  <si>
    <t xml:space="preserve">0.00012211 BNB</t>
  </si>
  <si>
    <t xml:space="preserve">2026-06-21</t>
  </si>
  <si>
    <t xml:space="preserve">0.00002802 BNB</t>
  </si>
  <si>
    <t xml:space="preserve">2026-06-22</t>
  </si>
  <si>
    <t xml:space="preserve">15.3013 BIO</t>
  </si>
  <si>
    <t xml:space="preserve">2026-07-02</t>
  </si>
  <si>
    <t xml:space="preserve">3.825 BIO + 0.00001441 BNB</t>
  </si>
  <si>
    <t xml:space="preserve">7.1692 BIO</t>
  </si>
  <si>
    <t xml:space="preserve">2026-07-21</t>
  </si>
  <si>
    <t xml:space="preserve">29.783 BIO</t>
  </si>
  <si>
    <t xml:space="preserve">เป้าหมาย (200,000 BIO)</t>
  </si>
  <si>
    <t xml:space="preserve">SOL — Technology City</t>
  </si>
  <si>
    <t xml:space="preserve">Source: Binance_Other_Coins_Trade_Summary.pdf · Binance Spot Trade History · 2023-12-31 to 2026-08-10 (UTC+10)</t>
  </si>
  <si>
    <t xml:space="preserve">0.001 SOL</t>
  </si>
  <si>
    <t xml:space="preserve">0.00102 SOL</t>
  </si>
  <si>
    <t xml:space="preserve">0.002462 SOL</t>
  </si>
  <si>
    <t xml:space="preserve">2026-02-01</t>
  </si>
  <si>
    <t xml:space="preserve">0.003141 SOL</t>
  </si>
  <si>
    <t xml:space="preserve">2026-02-02</t>
  </si>
  <si>
    <t xml:space="preserve">0.002226 SOL</t>
  </si>
  <si>
    <t xml:space="preserve">2026-02-04</t>
  </si>
  <si>
    <t xml:space="preserve">0.00015 SOL</t>
  </si>
  <si>
    <t xml:space="preserve">0.0031 SOL</t>
  </si>
  <si>
    <t xml:space="preserve">เป้าหมาย (40 SOL)</t>
  </si>
  <si>
    <t xml:space="preserve">LINK — Network / Infrastructure</t>
  </si>
  <si>
    <t xml:space="preserve">0.01 LINK</t>
  </si>
  <si>
    <t xml:space="preserve">0.00245 LINK</t>
  </si>
  <si>
    <t xml:space="preserve">0.01303 LINK</t>
  </si>
  <si>
    <t xml:space="preserve">0.015 LINK</t>
  </si>
  <si>
    <t xml:space="preserve">เป้าหมาย (500 LINK)</t>
  </si>
  <si>
    <t xml:space="preserve">RENDER — ยังไม่มีโลก</t>
  </si>
  <si>
    <t xml:space="preserve">2024-10-23</t>
  </si>
  <si>
    <t xml:space="preserve">0.01946 RENDER</t>
  </si>
  <si>
    <t xml:space="preserve">2024-11-08</t>
  </si>
  <si>
    <t xml:space="preserve">0.09458 RENDER</t>
  </si>
  <si>
    <t xml:space="preserve">2024-12-12</t>
  </si>
  <si>
    <t xml:space="preserve">1.097812 USDT</t>
  </si>
  <si>
    <t xml:space="preserve">0.02 RENDER</t>
  </si>
  <si>
    <t xml:space="preserve">0.03 RENDER</t>
  </si>
  <si>
    <t xml:space="preserve">2026-01-31</t>
  </si>
  <si>
    <t xml:space="preserve">0.02294 RENDER</t>
  </si>
  <si>
    <t xml:space="preserve">2026-02-03</t>
  </si>
  <si>
    <t xml:space="preserve">0.23152 RENDER</t>
  </si>
  <si>
    <t xml:space="preserve">2026-04-26</t>
  </si>
  <si>
    <t xml:space="preserve">0.555475 USDT</t>
  </si>
  <si>
    <t xml:space="preserve">0.0000455 BNB + 0.15438 RENDER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</si>
</sst>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00000;\(#,##0.00000000\);\-"/>
    <numFmt numFmtId="166" formatCode="0.0%"/>
    <numFmt numFmtId="167" formatCode="\$#,##0.00;&quot;($&quot;#,##0.00\);\-"/>
    <numFmt numFmtId="168" formatCode="\$#,##0.00000000;&quot;($&quot;#,##0.00000000\);\-"/>
    <numFmt numFmtId="169" formatCode="#,##0.0000;\(#,##0.0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n">
        <v>0.00013986</v>
      </c>
      <c r="D5" s="6" t="n">
        <v>0.2</v>
      </c>
      <c r="E5" s="7" t="n">
        <f aca="false">IFERROR(C5/D5,"—")</f>
        <v>0.0006993</v>
      </c>
      <c r="F5" s="8" t="n">
        <f aca="false">SUMIFS(BTC!E5:E5,BTC!B5:B5,"BUY")</f>
        <v>9.338</v>
      </c>
      <c r="G5" s="8" t="n">
        <f aca="false">SUMIFS(BTC!E5:E5,BTC!B5:B5,"SELL")</f>
        <v>0</v>
      </c>
      <c r="H5" s="8" t="n">
        <f aca="false">F5-G5</f>
        <v>9.338</v>
      </c>
      <c r="I5" s="9" t="n">
        <f aca="false">IFERROR(F5/SUMIFS(BTC!D5:D5,BTC!B5:B5,"BUY"),"-")</f>
        <v>66700</v>
      </c>
    </row>
    <row r="6" customFormat="false" ht="15" hidden="false" customHeight="false" outlineLevel="0" collapsed="false">
      <c r="A6" s="4" t="s">
        <v>13</v>
      </c>
      <c r="B6" s="5" t="s">
        <v>14</v>
      </c>
      <c r="C6" s="10" t="n">
        <v>21953.4246</v>
      </c>
      <c r="D6" s="10" t="n">
        <v>40000</v>
      </c>
      <c r="E6" s="7" t="n">
        <f aca="false">IFERROR(C6/D6,"—")</f>
        <v>0.548835615</v>
      </c>
      <c r="F6" s="8" t="n">
        <f aca="false">SUMIFS(ONDO!E5:E30,ONDO!B5:B30,"BUY")</f>
        <v>7665.31223</v>
      </c>
      <c r="G6" s="8" t="n">
        <f aca="false">SUMIFS(ONDO!E5:E30,ONDO!B5:B30,"SELL")</f>
        <v>0</v>
      </c>
      <c r="H6" s="8" t="n">
        <f aca="false">F6-G6</f>
        <v>7665.31223</v>
      </c>
      <c r="I6" s="8" t="n">
        <f aca="false">IFERROR(F6/SUMIFS(ONDO!D5:D30,ONDO!B5:B30,"BUY"),"-")</f>
        <v>0.348813319894063</v>
      </c>
    </row>
    <row r="7" customFormat="false" ht="15" hidden="false" customHeight="false" outlineLevel="0" collapsed="false">
      <c r="A7" s="4" t="s">
        <v>15</v>
      </c>
      <c r="B7" s="5" t="s">
        <v>16</v>
      </c>
      <c r="C7" s="10" t="n">
        <v>153764.5785</v>
      </c>
      <c r="D7" s="10" t="n">
        <v>200000</v>
      </c>
      <c r="E7" s="7" t="n">
        <f aca="false">IFERROR(C7/D7,"—")</f>
        <v>0.7688228925</v>
      </c>
      <c r="F7" s="8" t="n">
        <f aca="false">SUMIFS(BIO!E5:E30,BIO!B5:B30,"BUY")</f>
        <v>6291.913159</v>
      </c>
      <c r="G7" s="8" t="n">
        <f aca="false">SUMIFS(BIO!E5:E30,BIO!B5:B30,"SELL")</f>
        <v>2286.41418</v>
      </c>
      <c r="H7" s="8" t="n">
        <f aca="false">F7-G7</f>
        <v>4005.498979</v>
      </c>
      <c r="I7" s="9" t="n">
        <f aca="false">IFERROR(F7/SUMIFS(BIO!D5:D30,BIO!B5:B30,"BUY"),"-")</f>
        <v>0.037134430968371</v>
      </c>
    </row>
    <row r="8" customFormat="false" ht="15" hidden="false" customHeight="false" outlineLevel="0" collapsed="false">
      <c r="A8" s="4" t="s">
        <v>17</v>
      </c>
      <c r="B8" s="5" t="s">
        <v>18</v>
      </c>
      <c r="C8" s="10" t="n">
        <v>15.083901</v>
      </c>
      <c r="D8" s="10" t="n">
        <v>40</v>
      </c>
      <c r="E8" s="7" t="n">
        <f aca="false">IFERROR(C8/D8,"—")</f>
        <v>0.377097525</v>
      </c>
      <c r="F8" s="8" t="n">
        <f aca="false">SUMIFS(SOL!E5:E13,SOL!B5:B13,"BUY")</f>
        <v>1577.72</v>
      </c>
      <c r="G8" s="8" t="n">
        <f aca="false">SUMIFS(SOL!E5:E13,SOL!B5:B13,"SELL")</f>
        <v>0</v>
      </c>
      <c r="H8" s="8" t="n">
        <f aca="false">F8-G8</f>
        <v>1577.72</v>
      </c>
      <c r="I8" s="8" t="n">
        <f aca="false">IFERROR(F8/SUMIFS(SOL!D5:D13,SOL!B5:B13,"BUY"),"-")</f>
        <v>104.491688191271</v>
      </c>
    </row>
    <row r="9" customFormat="false" ht="15" hidden="false" customHeight="false" outlineLevel="0" collapsed="false">
      <c r="A9" s="4" t="s">
        <v>19</v>
      </c>
      <c r="B9" s="5" t="s">
        <v>20</v>
      </c>
      <c r="C9" s="10" t="n">
        <v>50.42952</v>
      </c>
      <c r="D9" s="10" t="n">
        <v>500</v>
      </c>
      <c r="E9" s="7" t="n">
        <f aca="false">IFERROR(C9/D9,"—")</f>
        <v>0.10085904</v>
      </c>
      <c r="F9" s="8" t="n">
        <f aca="false">SUMIFS(LINK!E5:E9,LINK!B5:B9,"BUY")</f>
        <v>658.75</v>
      </c>
      <c r="G9" s="8" t="n">
        <f aca="false">SUMIFS(LINK!E5:E9,LINK!B5:B9,"SELL")</f>
        <v>0</v>
      </c>
      <c r="H9" s="8" t="n">
        <f aca="false">F9-G9</f>
        <v>658.75</v>
      </c>
      <c r="I9" s="8" t="n">
        <f aca="false">IFERROR(F9/SUMIFS(LINK!D5:D9,LINK!B5:B9,"BUY"),"-")</f>
        <v>13.0497226624406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10" t="n">
        <v>180.8971</v>
      </c>
      <c r="D10" s="11" t="s">
        <v>23</v>
      </c>
      <c r="E10" s="7" t="str">
        <f aca="false">IFERROR(C10/D10,"—")</f>
        <v>—</v>
      </c>
      <c r="F10" s="8" t="n">
        <f aca="false">SUMIFS(RENDER!E5:E13,RENDER!B5:B13,"BUY")</f>
        <v>1329.27</v>
      </c>
      <c r="G10" s="8" t="n">
        <f aca="false">SUMIFS(RENDER!E5:E13,RENDER!B5:B13,"SELL")</f>
        <v>1653.29</v>
      </c>
      <c r="H10" s="8" t="n">
        <f aca="false">F10-G10</f>
        <v>-324.02</v>
      </c>
      <c r="I10" s="8" t="n">
        <f aca="false">IFERROR(F10/SUMIFS(RENDER!D5:D13,RENDER!B5:B13,"BUY"),"-")</f>
        <v>2.21626262963086</v>
      </c>
    </row>
    <row r="11" customFormat="false" ht="15" hidden="false" customHeight="false" outlineLevel="0" collapsed="false">
      <c r="A11" s="4" t="s">
        <v>24</v>
      </c>
      <c r="B11" s="5" t="s">
        <v>25</v>
      </c>
      <c r="C11" s="12" t="s">
        <v>26</v>
      </c>
      <c r="D11" s="10" t="n">
        <v>30</v>
      </c>
      <c r="E11" s="13" t="s">
        <v>23</v>
      </c>
      <c r="F11" s="13" t="s">
        <v>23</v>
      </c>
      <c r="G11" s="13" t="s">
        <v>23</v>
      </c>
      <c r="H11" s="13" t="s">
        <v>23</v>
      </c>
      <c r="I11" s="13" t="s">
        <v>23</v>
      </c>
    </row>
    <row r="12" customFormat="false" ht="15" hidden="false" customHeight="false" outlineLevel="0" collapsed="false">
      <c r="A12" s="4" t="s">
        <v>27</v>
      </c>
      <c r="B12" s="5" t="s">
        <v>28</v>
      </c>
      <c r="C12" s="12" t="s">
        <v>26</v>
      </c>
      <c r="D12" s="10" t="n">
        <v>1000</v>
      </c>
      <c r="E12" s="13" t="s">
        <v>23</v>
      </c>
      <c r="F12" s="13" t="s">
        <v>23</v>
      </c>
      <c r="G12" s="13" t="s">
        <v>23</v>
      </c>
      <c r="H12" s="13" t="s">
        <v>23</v>
      </c>
      <c r="I12" s="13" t="s">
        <v>23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12" t="s">
        <v>26</v>
      </c>
      <c r="D13" s="10" t="n">
        <v>10000</v>
      </c>
      <c r="E13" s="13" t="s">
        <v>23</v>
      </c>
      <c r="F13" s="13" t="s">
        <v>23</v>
      </c>
      <c r="G13" s="13" t="s">
        <v>23</v>
      </c>
      <c r="H13" s="13" t="s">
        <v>23</v>
      </c>
      <c r="I13" s="13" t="s">
        <v>23</v>
      </c>
    </row>
    <row r="14" customFormat="false" ht="15" hidden="false" customHeight="false" outlineLevel="0" collapsed="false">
      <c r="A14" s="14" t="s">
        <v>31</v>
      </c>
      <c r="F14" s="15" t="n">
        <f aca="false">SUM(F5:F10)</f>
        <v>17532.303389</v>
      </c>
      <c r="G14" s="15" t="n">
        <f aca="false">SUM(G5:G10)</f>
        <v>3939.70418</v>
      </c>
      <c r="H14" s="15" t="n">
        <f aca="false">F14-G14</f>
        <v>13592.599209</v>
      </c>
    </row>
    <row r="16" customFormat="false" ht="15" hidden="false" customHeight="false" outlineLevel="0" collapsed="false">
      <c r="A16" s="16" t="s">
        <v>32</v>
      </c>
    </row>
    <row r="17" customFormat="false" ht="15" hidden="false" customHeight="false" outlineLevel="0" collapsed="false">
      <c r="A17" s="2" t="s">
        <v>33</v>
      </c>
    </row>
    <row r="18" customFormat="false" ht="15" hidden="false" customHeight="false" outlineLevel="0" collapsed="false">
      <c r="A18" s="2" t="s">
        <v>34</v>
      </c>
    </row>
    <row r="19" customFormat="false" ht="15" hidden="false" customHeight="false" outlineLevel="0" collapsed="false">
      <c r="A19" s="2" t="s">
        <v>35</v>
      </c>
    </row>
    <row r="20" customFormat="false" ht="15" hidden="false" customHeight="false" outlineLevel="0" collapsed="false">
      <c r="A20" s="2" t="s">
        <v>36</v>
      </c>
    </row>
    <row r="21" customFormat="false" ht="15" hidden="false" customHeight="false" outlineLevel="0" collapsed="false">
      <c r="A21" s="2" t="s">
        <v>37</v>
      </c>
    </row>
    <row r="22" customFormat="false" ht="15" hidden="false" customHeight="false" outlineLevel="0" collapsed="false">
      <c r="A22" s="2" t="s">
        <v>38</v>
      </c>
    </row>
    <row r="23" customFormat="false" ht="15" hidden="false" customHeight="false" outlineLevel="0" collapsed="false">
      <c r="A23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49</v>
      </c>
      <c r="B5" s="18" t="s">
        <v>50</v>
      </c>
      <c r="C5" s="19" t="n">
        <v>66700</v>
      </c>
      <c r="D5" s="6" t="n">
        <v>0.00014</v>
      </c>
      <c r="E5" s="20" t="n">
        <v>9.338</v>
      </c>
      <c r="F5" s="17" t="s">
        <v>51</v>
      </c>
      <c r="G5" s="18" t="n">
        <v>1</v>
      </c>
    </row>
    <row r="7" customFormat="false" ht="15" hidden="false" customHeight="false" outlineLevel="0" collapsed="false">
      <c r="A7" s="21" t="s">
        <v>52</v>
      </c>
    </row>
    <row r="8" customFormat="false" ht="15" hidden="false" customHeight="false" outlineLevel="0" collapsed="false">
      <c r="A8" s="22" t="s">
        <v>53</v>
      </c>
      <c r="E8" s="23" t="n">
        <f aca="false">SUMIFS(D5:D5,B5:B5,"BUY")</f>
        <v>0.00014</v>
      </c>
    </row>
    <row r="9" customFormat="false" ht="15" hidden="false" customHeight="false" outlineLevel="0" collapsed="false">
      <c r="A9" s="22" t="s">
        <v>54</v>
      </c>
      <c r="E9" s="24" t="n">
        <f aca="false">SUMIFS(E5:E5,B5:B5,"BUY")</f>
        <v>9.338</v>
      </c>
    </row>
    <row r="10" customFormat="false" ht="15" hidden="false" customHeight="false" outlineLevel="0" collapsed="false">
      <c r="A10" s="14" t="s">
        <v>55</v>
      </c>
      <c r="E10" s="25" t="n">
        <f aca="false">IFERROR(SUMIFS(E5:E5,B5:B5,"BUY")/SUMIFS(D5:D5,B5:B5,"BUY"),"-")</f>
        <v>66700</v>
      </c>
    </row>
    <row r="11" customFormat="false" ht="15" hidden="false" customHeight="false" outlineLevel="0" collapsed="false">
      <c r="A11" s="22" t="s">
        <v>56</v>
      </c>
      <c r="E11" s="23" t="n">
        <f aca="false">SUMIFS(D5:D5,B5:B5,"SELL")</f>
        <v>0</v>
      </c>
    </row>
    <row r="12" customFormat="false" ht="15" hidden="false" customHeight="false" outlineLevel="0" collapsed="false">
      <c r="A12" s="22" t="s">
        <v>57</v>
      </c>
      <c r="E12" s="24" t="n">
        <f aca="false">SUMIFS(E5:E5,B5:B5,"SELL")</f>
        <v>0</v>
      </c>
    </row>
    <row r="13" customFormat="false" ht="15" hidden="false" customHeight="false" outlineLevel="0" collapsed="false">
      <c r="A13" s="22" t="s">
        <v>58</v>
      </c>
      <c r="E13" s="26" t="str">
        <f aca="false">IFERROR(SUMIFS(E5:E5,B5:B5,"SELL")/SUMIFS(D5:D5,B5:B5,"SELL"),"-")</f>
        <v>-</v>
      </c>
    </row>
    <row r="14" customFormat="false" ht="15" hidden="false" customHeight="false" outlineLevel="0" collapsed="false">
      <c r="A14" s="22" t="s">
        <v>59</v>
      </c>
      <c r="E14" s="23" t="n">
        <f aca="false">SUMIFS(D5:D5,B5:B5,"BUY")-SUMIFS(D5:D5,B5:B5,"SELL")</f>
        <v>0.00014</v>
      </c>
    </row>
    <row r="15" customFormat="false" ht="15" hidden="false" customHeight="false" outlineLevel="0" collapsed="false">
      <c r="A15" s="14" t="s">
        <v>60</v>
      </c>
      <c r="E15" s="27" t="n">
        <v>0.00013986</v>
      </c>
    </row>
    <row r="16" customFormat="false" ht="15" hidden="false" customHeight="false" outlineLevel="0" collapsed="false">
      <c r="A16" s="22" t="s">
        <v>61</v>
      </c>
      <c r="E16" s="24" t="n">
        <f aca="false">SUMIFS(E5:E5,B5:B5,"BUY")-SUMIFS(E5:E5,B5:B5,"SELL")</f>
        <v>9.338</v>
      </c>
    </row>
    <row r="17" customFormat="false" ht="15" hidden="false" customHeight="false" outlineLevel="0" collapsed="false">
      <c r="A17" s="14" t="s">
        <v>62</v>
      </c>
      <c r="E17" s="27" t="n">
        <v>0.2</v>
      </c>
    </row>
    <row r="18" customFormat="false" ht="15" hidden="false" customHeight="false" outlineLevel="0" collapsed="false">
      <c r="A18" s="14" t="s">
        <v>6</v>
      </c>
      <c r="E18" s="28" t="n">
        <f aca="false">E15/E17</f>
        <v>0.0006993</v>
      </c>
    </row>
    <row r="20" customFormat="false" ht="15" hidden="false" customHeight="false" outlineLevel="0" collapsed="false">
      <c r="A20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65</v>
      </c>
      <c r="B5" s="18" t="s">
        <v>50</v>
      </c>
      <c r="C5" s="20" t="n">
        <v>0.6678</v>
      </c>
      <c r="D5" s="10" t="n">
        <v>227.3</v>
      </c>
      <c r="E5" s="20" t="n">
        <v>151.79094</v>
      </c>
      <c r="F5" s="17" t="s">
        <v>66</v>
      </c>
      <c r="G5" s="18" t="n">
        <v>1</v>
      </c>
    </row>
    <row r="6" customFormat="false" ht="15" hidden="false" customHeight="false" outlineLevel="0" collapsed="false">
      <c r="A6" s="17" t="s">
        <v>67</v>
      </c>
      <c r="B6" s="18" t="s">
        <v>50</v>
      </c>
      <c r="C6" s="20" t="n">
        <v>0.755</v>
      </c>
      <c r="D6" s="10" t="n">
        <v>379.7</v>
      </c>
      <c r="E6" s="20" t="n">
        <v>286.6735</v>
      </c>
      <c r="F6" s="17" t="s">
        <v>68</v>
      </c>
      <c r="G6" s="18" t="n">
        <v>1</v>
      </c>
    </row>
    <row r="7" customFormat="false" ht="15" hidden="false" customHeight="false" outlineLevel="0" collapsed="false">
      <c r="A7" s="17" t="s">
        <v>69</v>
      </c>
      <c r="B7" s="18" t="s">
        <v>50</v>
      </c>
      <c r="C7" s="20" t="n">
        <v>0.6881</v>
      </c>
      <c r="D7" s="10" t="n">
        <v>395</v>
      </c>
      <c r="E7" s="20" t="n">
        <v>271.7995</v>
      </c>
      <c r="F7" s="17" t="s">
        <v>70</v>
      </c>
      <c r="G7" s="18" t="n">
        <v>1</v>
      </c>
    </row>
    <row r="8" customFormat="false" ht="15" hidden="false" customHeight="false" outlineLevel="0" collapsed="false">
      <c r="A8" s="17" t="s">
        <v>71</v>
      </c>
      <c r="B8" s="18" t="s">
        <v>50</v>
      </c>
      <c r="C8" s="20" t="n">
        <v>0.544</v>
      </c>
      <c r="D8" s="10" t="n">
        <v>300</v>
      </c>
      <c r="E8" s="20" t="n">
        <v>163.2</v>
      </c>
      <c r="F8" s="17" t="s">
        <v>72</v>
      </c>
      <c r="G8" s="18" t="n">
        <v>1</v>
      </c>
    </row>
    <row r="9" customFormat="false" ht="15" hidden="false" customHeight="false" outlineLevel="0" collapsed="false">
      <c r="A9" s="17" t="s">
        <v>73</v>
      </c>
      <c r="B9" s="18" t="s">
        <v>50</v>
      </c>
      <c r="C9" s="20" t="n">
        <v>0.4671</v>
      </c>
      <c r="D9" s="10" t="n">
        <v>111.8</v>
      </c>
      <c r="E9" s="20" t="n">
        <v>52.22178</v>
      </c>
      <c r="F9" s="17" t="s">
        <v>74</v>
      </c>
      <c r="G9" s="18" t="n">
        <v>1</v>
      </c>
    </row>
    <row r="10" customFormat="false" ht="15" hidden="false" customHeight="false" outlineLevel="0" collapsed="false">
      <c r="A10" s="17" t="s">
        <v>73</v>
      </c>
      <c r="B10" s="18" t="s">
        <v>50</v>
      </c>
      <c r="C10" s="20" t="n">
        <v>0.4671</v>
      </c>
      <c r="D10" s="10" t="n">
        <v>88.2</v>
      </c>
      <c r="E10" s="20" t="n">
        <v>41.19822</v>
      </c>
      <c r="F10" s="17" t="s">
        <v>75</v>
      </c>
      <c r="G10" s="18" t="n">
        <v>1</v>
      </c>
    </row>
    <row r="11" customFormat="false" ht="15" hidden="false" customHeight="false" outlineLevel="0" collapsed="false">
      <c r="A11" s="17" t="s">
        <v>76</v>
      </c>
      <c r="B11" s="18" t="s">
        <v>50</v>
      </c>
      <c r="C11" s="20" t="n">
        <v>0.3976</v>
      </c>
      <c r="D11" s="10" t="n">
        <v>523.3</v>
      </c>
      <c r="E11" s="20" t="n">
        <v>208.06408</v>
      </c>
      <c r="F11" s="17" t="s">
        <v>77</v>
      </c>
      <c r="G11" s="18" t="n">
        <v>1</v>
      </c>
    </row>
    <row r="12" customFormat="false" ht="15" hidden="false" customHeight="false" outlineLevel="0" collapsed="false">
      <c r="A12" s="17" t="s">
        <v>76</v>
      </c>
      <c r="B12" s="18" t="s">
        <v>50</v>
      </c>
      <c r="C12" s="20" t="n">
        <v>0.3976</v>
      </c>
      <c r="D12" s="10" t="n">
        <v>39.9</v>
      </c>
      <c r="E12" s="20" t="n">
        <v>15.86424</v>
      </c>
      <c r="F12" s="17" t="s">
        <v>78</v>
      </c>
      <c r="G12" s="18" t="n">
        <v>1</v>
      </c>
    </row>
    <row r="13" customFormat="false" ht="15" hidden="false" customHeight="false" outlineLevel="0" collapsed="false">
      <c r="A13" s="17" t="s">
        <v>79</v>
      </c>
      <c r="B13" s="18" t="s">
        <v>50</v>
      </c>
      <c r="C13" s="20" t="n">
        <v>0.388</v>
      </c>
      <c r="D13" s="10" t="n">
        <v>202</v>
      </c>
      <c r="E13" s="20" t="n">
        <v>78.376</v>
      </c>
      <c r="F13" s="17" t="s">
        <v>80</v>
      </c>
      <c r="G13" s="18" t="n">
        <v>1</v>
      </c>
    </row>
    <row r="14" customFormat="false" ht="15" hidden="false" customHeight="false" outlineLevel="0" collapsed="false">
      <c r="A14" s="17" t="s">
        <v>79</v>
      </c>
      <c r="B14" s="18" t="s">
        <v>50</v>
      </c>
      <c r="C14" s="20" t="n">
        <v>0.388</v>
      </c>
      <c r="D14" s="10" t="n">
        <v>831.5</v>
      </c>
      <c r="E14" s="20" t="n">
        <v>322.622</v>
      </c>
      <c r="F14" s="17" t="s">
        <v>81</v>
      </c>
      <c r="G14" s="18" t="n">
        <v>1</v>
      </c>
    </row>
    <row r="15" customFormat="false" ht="15" hidden="false" customHeight="false" outlineLevel="0" collapsed="false">
      <c r="A15" s="17" t="s">
        <v>82</v>
      </c>
      <c r="B15" s="18" t="s">
        <v>50</v>
      </c>
      <c r="C15" s="20" t="n">
        <v>0.4412</v>
      </c>
      <c r="D15" s="10" t="n">
        <v>296.1</v>
      </c>
      <c r="E15" s="20" t="n">
        <v>130.63932</v>
      </c>
      <c r="F15" s="17" t="s">
        <v>83</v>
      </c>
      <c r="G15" s="18" t="n">
        <v>1</v>
      </c>
    </row>
    <row r="16" customFormat="false" ht="15" hidden="false" customHeight="false" outlineLevel="0" collapsed="false">
      <c r="A16" s="17" t="s">
        <v>82</v>
      </c>
      <c r="B16" s="18" t="s">
        <v>50</v>
      </c>
      <c r="C16" s="20" t="n">
        <v>0.4412</v>
      </c>
      <c r="D16" s="10" t="n">
        <v>703.9</v>
      </c>
      <c r="E16" s="20" t="n">
        <v>310.56068</v>
      </c>
      <c r="F16" s="17" t="s">
        <v>84</v>
      </c>
      <c r="G16" s="18" t="n">
        <v>1</v>
      </c>
    </row>
    <row r="17" customFormat="false" ht="15" hidden="false" customHeight="false" outlineLevel="0" collapsed="false">
      <c r="A17" s="17" t="s">
        <v>85</v>
      </c>
      <c r="B17" s="18" t="s">
        <v>50</v>
      </c>
      <c r="C17" s="20" t="n">
        <v>0.4558</v>
      </c>
      <c r="D17" s="10" t="n">
        <v>1000</v>
      </c>
      <c r="E17" s="20" t="n">
        <v>455.8</v>
      </c>
      <c r="F17" s="17" t="s">
        <v>86</v>
      </c>
      <c r="G17" s="18" t="n">
        <v>1</v>
      </c>
    </row>
    <row r="18" customFormat="false" ht="15" hidden="false" customHeight="false" outlineLevel="0" collapsed="false">
      <c r="A18" s="17" t="s">
        <v>87</v>
      </c>
      <c r="B18" s="18" t="s">
        <v>50</v>
      </c>
      <c r="C18" s="20" t="n">
        <v>0.3901</v>
      </c>
      <c r="D18" s="10" t="n">
        <v>20.1</v>
      </c>
      <c r="E18" s="20" t="n">
        <v>7.84101</v>
      </c>
      <c r="F18" s="17" t="s">
        <v>88</v>
      </c>
      <c r="G18" s="18" t="n">
        <v>1</v>
      </c>
    </row>
    <row r="19" customFormat="false" ht="15" hidden="false" customHeight="false" outlineLevel="0" collapsed="false">
      <c r="A19" s="17" t="s">
        <v>87</v>
      </c>
      <c r="B19" s="18" t="s">
        <v>50</v>
      </c>
      <c r="C19" s="20" t="n">
        <v>0.3901</v>
      </c>
      <c r="D19" s="10" t="n">
        <v>182</v>
      </c>
      <c r="E19" s="20" t="n">
        <v>70.9982</v>
      </c>
      <c r="F19" s="17" t="s">
        <v>89</v>
      </c>
      <c r="G19" s="18" t="n">
        <v>1</v>
      </c>
    </row>
    <row r="20" customFormat="false" ht="15" hidden="false" customHeight="false" outlineLevel="0" collapsed="false">
      <c r="A20" s="17" t="s">
        <v>90</v>
      </c>
      <c r="B20" s="18" t="s">
        <v>50</v>
      </c>
      <c r="C20" s="20" t="n">
        <v>0.341</v>
      </c>
      <c r="D20" s="10" t="n">
        <v>936.1</v>
      </c>
      <c r="E20" s="20" t="n">
        <v>319.2101</v>
      </c>
      <c r="F20" s="17" t="s">
        <v>91</v>
      </c>
      <c r="G20" s="18" t="n">
        <v>1</v>
      </c>
    </row>
    <row r="21" customFormat="false" ht="15" hidden="false" customHeight="false" outlineLevel="0" collapsed="false">
      <c r="A21" s="17" t="s">
        <v>92</v>
      </c>
      <c r="B21" s="18" t="s">
        <v>50</v>
      </c>
      <c r="C21" s="20" t="n">
        <v>0.3383</v>
      </c>
      <c r="D21" s="10" t="n">
        <v>3093</v>
      </c>
      <c r="E21" s="20" t="n">
        <v>1046.3619</v>
      </c>
      <c r="F21" s="17" t="s">
        <v>93</v>
      </c>
      <c r="G21" s="18" t="n">
        <v>1</v>
      </c>
    </row>
    <row r="22" customFormat="false" ht="15" hidden="false" customHeight="false" outlineLevel="0" collapsed="false">
      <c r="A22" s="17" t="s">
        <v>94</v>
      </c>
      <c r="B22" s="18" t="s">
        <v>50</v>
      </c>
      <c r="C22" s="20" t="n">
        <v>0.34</v>
      </c>
      <c r="D22" s="10" t="n">
        <v>759.9</v>
      </c>
      <c r="E22" s="20" t="n">
        <v>258.366</v>
      </c>
      <c r="F22" s="17" t="s">
        <v>95</v>
      </c>
      <c r="G22" s="18" t="n">
        <v>1</v>
      </c>
    </row>
    <row r="23" customFormat="false" ht="15" hidden="false" customHeight="false" outlineLevel="0" collapsed="false">
      <c r="A23" s="17" t="s">
        <v>96</v>
      </c>
      <c r="B23" s="18" t="s">
        <v>50</v>
      </c>
      <c r="C23" s="20" t="n">
        <v>0.2471</v>
      </c>
      <c r="D23" s="10" t="n">
        <v>1000</v>
      </c>
      <c r="E23" s="20" t="n">
        <v>247.1</v>
      </c>
      <c r="F23" s="17" t="s">
        <v>86</v>
      </c>
      <c r="G23" s="18" t="n">
        <v>1</v>
      </c>
    </row>
    <row r="24" customFormat="false" ht="15" hidden="false" customHeight="false" outlineLevel="0" collapsed="false">
      <c r="A24" s="17" t="s">
        <v>49</v>
      </c>
      <c r="B24" s="18" t="s">
        <v>50</v>
      </c>
      <c r="C24" s="20" t="n">
        <v>0.2675</v>
      </c>
      <c r="D24" s="10" t="n">
        <v>417</v>
      </c>
      <c r="E24" s="20" t="n">
        <v>111.5475</v>
      </c>
      <c r="F24" s="17" t="s">
        <v>97</v>
      </c>
      <c r="G24" s="18" t="n">
        <v>1</v>
      </c>
    </row>
    <row r="25" customFormat="false" ht="15" hidden="false" customHeight="false" outlineLevel="0" collapsed="false">
      <c r="A25" s="17" t="s">
        <v>98</v>
      </c>
      <c r="B25" s="18" t="s">
        <v>50</v>
      </c>
      <c r="C25" s="20" t="n">
        <v>0.265</v>
      </c>
      <c r="D25" s="10" t="n">
        <v>3887.8</v>
      </c>
      <c r="E25" s="20" t="n">
        <v>1030.267</v>
      </c>
      <c r="F25" s="17" t="s">
        <v>99</v>
      </c>
      <c r="G25" s="18" t="n">
        <v>1</v>
      </c>
    </row>
    <row r="26" customFormat="false" ht="15" hidden="false" customHeight="false" outlineLevel="0" collapsed="false">
      <c r="A26" s="17" t="s">
        <v>100</v>
      </c>
      <c r="B26" s="18" t="s">
        <v>50</v>
      </c>
      <c r="C26" s="20" t="n">
        <v>0.2738</v>
      </c>
      <c r="D26" s="10" t="n">
        <v>3000</v>
      </c>
      <c r="E26" s="20" t="n">
        <v>821.4</v>
      </c>
      <c r="F26" s="17" t="s">
        <v>101</v>
      </c>
      <c r="G26" s="18" t="n">
        <v>1</v>
      </c>
    </row>
    <row r="27" customFormat="false" ht="15" hidden="false" customHeight="false" outlineLevel="0" collapsed="false">
      <c r="A27" s="17" t="s">
        <v>102</v>
      </c>
      <c r="B27" s="18" t="s">
        <v>50</v>
      </c>
      <c r="C27" s="20" t="n">
        <v>0.3582</v>
      </c>
      <c r="D27" s="10" t="n">
        <v>1612.2</v>
      </c>
      <c r="E27" s="20" t="n">
        <v>577.49004</v>
      </c>
      <c r="F27" s="17" t="s">
        <v>103</v>
      </c>
      <c r="G27" s="18" t="n">
        <v>1</v>
      </c>
    </row>
    <row r="28" customFormat="false" ht="15" hidden="false" customHeight="false" outlineLevel="0" collapsed="false">
      <c r="A28" s="17" t="s">
        <v>104</v>
      </c>
      <c r="B28" s="18" t="s">
        <v>50</v>
      </c>
      <c r="C28" s="20" t="n">
        <v>0.3452</v>
      </c>
      <c r="D28" s="10" t="n">
        <v>588.3</v>
      </c>
      <c r="E28" s="20" t="n">
        <v>203.08116</v>
      </c>
      <c r="F28" s="17" t="s">
        <v>105</v>
      </c>
      <c r="G28" s="18" t="n">
        <v>1</v>
      </c>
    </row>
    <row r="29" customFormat="false" ht="15" hidden="false" customHeight="false" outlineLevel="0" collapsed="false">
      <c r="A29" s="17" t="s">
        <v>104</v>
      </c>
      <c r="B29" s="18" t="s">
        <v>50</v>
      </c>
      <c r="C29" s="20" t="n">
        <v>0.3452</v>
      </c>
      <c r="D29" s="10" t="n">
        <v>575.3</v>
      </c>
      <c r="E29" s="20" t="n">
        <v>198.59356</v>
      </c>
      <c r="F29" s="17" t="s">
        <v>106</v>
      </c>
      <c r="G29" s="18" t="n">
        <v>1</v>
      </c>
    </row>
    <row r="30" customFormat="false" ht="15" hidden="false" customHeight="false" outlineLevel="0" collapsed="false">
      <c r="A30" s="17" t="s">
        <v>107</v>
      </c>
      <c r="B30" s="18" t="s">
        <v>50</v>
      </c>
      <c r="C30" s="20" t="n">
        <v>0.3531</v>
      </c>
      <c r="D30" s="10" t="n">
        <v>805</v>
      </c>
      <c r="E30" s="20" t="n">
        <v>284.2455</v>
      </c>
      <c r="F30" s="17" t="s">
        <v>108</v>
      </c>
      <c r="G30" s="18" t="n">
        <v>1</v>
      </c>
    </row>
    <row r="32" customFormat="false" ht="15" hidden="false" customHeight="false" outlineLevel="0" collapsed="false">
      <c r="A32" s="21" t="s">
        <v>52</v>
      </c>
    </row>
    <row r="33" customFormat="false" ht="15" hidden="false" customHeight="false" outlineLevel="0" collapsed="false">
      <c r="A33" s="22" t="s">
        <v>53</v>
      </c>
      <c r="E33" s="29" t="n">
        <f aca="false">SUMIFS(D5:D30,B5:B30,"BUY")</f>
        <v>21975.4</v>
      </c>
    </row>
    <row r="34" customFormat="false" ht="15" hidden="false" customHeight="false" outlineLevel="0" collapsed="false">
      <c r="A34" s="22" t="s">
        <v>54</v>
      </c>
      <c r="E34" s="24" t="n">
        <f aca="false">SUMIFS(E5:E30,B5:B30,"BUY")</f>
        <v>7665.31223</v>
      </c>
    </row>
    <row r="35" customFormat="false" ht="15" hidden="false" customHeight="false" outlineLevel="0" collapsed="false">
      <c r="A35" s="14" t="s">
        <v>55</v>
      </c>
      <c r="E35" s="15" t="n">
        <f aca="false">IFERROR(SUMIFS(E5:E30,B5:B30,"BUY")/SUMIFS(D5:D30,B5:B30,"BUY"),"-")</f>
        <v>0.348813319894063</v>
      </c>
    </row>
    <row r="36" customFormat="false" ht="15" hidden="false" customHeight="false" outlineLevel="0" collapsed="false">
      <c r="A36" s="22" t="s">
        <v>56</v>
      </c>
      <c r="E36" s="29" t="n">
        <f aca="false">SUMIFS(D5:D30,B5:B30,"SELL")</f>
        <v>0</v>
      </c>
    </row>
    <row r="37" customFormat="false" ht="15" hidden="false" customHeight="false" outlineLevel="0" collapsed="false">
      <c r="A37" s="22" t="s">
        <v>57</v>
      </c>
      <c r="E37" s="24" t="n">
        <f aca="false">SUMIFS(E5:E30,B5:B30,"SELL")</f>
        <v>0</v>
      </c>
    </row>
    <row r="38" customFormat="false" ht="15" hidden="false" customHeight="false" outlineLevel="0" collapsed="false">
      <c r="A38" s="22" t="s">
        <v>58</v>
      </c>
      <c r="E38" s="24" t="str">
        <f aca="false">IFERROR(SUMIFS(E5:E30,B5:B30,"SELL")/SUMIFS(D5:D30,B5:B30,"SELL"),"-")</f>
        <v>-</v>
      </c>
    </row>
    <row r="39" customFormat="false" ht="15" hidden="false" customHeight="false" outlineLevel="0" collapsed="false">
      <c r="A39" s="22" t="s">
        <v>59</v>
      </c>
      <c r="E39" s="29" t="n">
        <f aca="false">SUMIFS(D5:D30,B5:B30,"BUY")-SUMIFS(D5:D30,B5:B30,"SELL")</f>
        <v>21975.4</v>
      </c>
    </row>
    <row r="40" customFormat="false" ht="15" hidden="false" customHeight="false" outlineLevel="0" collapsed="false">
      <c r="A40" s="14" t="s">
        <v>60</v>
      </c>
      <c r="E40" s="30" t="n">
        <v>21953.4246</v>
      </c>
    </row>
    <row r="41" customFormat="false" ht="15" hidden="false" customHeight="false" outlineLevel="0" collapsed="false">
      <c r="A41" s="22" t="s">
        <v>61</v>
      </c>
      <c r="E41" s="24" t="n">
        <f aca="false">SUMIFS(E5:E30,B5:B30,"BUY")-SUMIFS(E5:E30,B5:B30,"SELL")</f>
        <v>7665.31223</v>
      </c>
    </row>
    <row r="42" customFormat="false" ht="15" hidden="false" customHeight="false" outlineLevel="0" collapsed="false">
      <c r="A42" s="14" t="s">
        <v>109</v>
      </c>
      <c r="E42" s="30" t="n">
        <v>40000</v>
      </c>
    </row>
    <row r="43" customFormat="false" ht="15" hidden="false" customHeight="false" outlineLevel="0" collapsed="false">
      <c r="A43" s="14" t="s">
        <v>6</v>
      </c>
      <c r="E43" s="28" t="n">
        <f aca="false">E40/E42</f>
        <v>0.548835615</v>
      </c>
    </row>
    <row r="45" customFormat="false" ht="15" hidden="false" customHeight="false" outlineLevel="0" collapsed="false">
      <c r="A45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111</v>
      </c>
      <c r="B5" s="18" t="s">
        <v>50</v>
      </c>
      <c r="C5" s="19" t="n">
        <v>0.073</v>
      </c>
      <c r="D5" s="10" t="n">
        <v>905.9</v>
      </c>
      <c r="E5" s="20" t="n">
        <v>66.1307</v>
      </c>
      <c r="F5" s="17" t="s">
        <v>112</v>
      </c>
      <c r="G5" s="18" t="n">
        <v>1</v>
      </c>
    </row>
    <row r="6" customFormat="false" ht="15" hidden="false" customHeight="false" outlineLevel="0" collapsed="false">
      <c r="A6" s="17" t="s">
        <v>111</v>
      </c>
      <c r="B6" s="18" t="s">
        <v>50</v>
      </c>
      <c r="C6" s="19" t="n">
        <v>0.073</v>
      </c>
      <c r="D6" s="10" t="n">
        <v>9094.1</v>
      </c>
      <c r="E6" s="20" t="n">
        <v>663.8693</v>
      </c>
      <c r="F6" s="17" t="s">
        <v>113</v>
      </c>
      <c r="G6" s="18" t="n">
        <v>1</v>
      </c>
    </row>
    <row r="7" customFormat="false" ht="15" hidden="false" customHeight="false" outlineLevel="0" collapsed="false">
      <c r="A7" s="17" t="s">
        <v>114</v>
      </c>
      <c r="B7" s="18" t="s">
        <v>50</v>
      </c>
      <c r="C7" s="19" t="n">
        <v>0.0508</v>
      </c>
      <c r="D7" s="10" t="n">
        <v>15022.4</v>
      </c>
      <c r="E7" s="20" t="n">
        <v>763.13792</v>
      </c>
      <c r="F7" s="17" t="s">
        <v>115</v>
      </c>
      <c r="G7" s="18" t="n">
        <v>1</v>
      </c>
    </row>
    <row r="8" customFormat="false" ht="15" hidden="false" customHeight="false" outlineLevel="0" collapsed="false">
      <c r="A8" s="17" t="s">
        <v>116</v>
      </c>
      <c r="B8" s="18" t="s">
        <v>50</v>
      </c>
      <c r="C8" s="19" t="n">
        <v>0.049</v>
      </c>
      <c r="D8" s="10" t="n">
        <v>459.4</v>
      </c>
      <c r="E8" s="20" t="n">
        <v>22.5106</v>
      </c>
      <c r="F8" s="17" t="s">
        <v>117</v>
      </c>
      <c r="G8" s="18" t="n">
        <v>1</v>
      </c>
    </row>
    <row r="9" customFormat="false" ht="15" hidden="false" customHeight="false" outlineLevel="0" collapsed="false">
      <c r="A9" s="17" t="s">
        <v>118</v>
      </c>
      <c r="B9" s="18" t="s">
        <v>119</v>
      </c>
      <c r="C9" s="19" t="n">
        <v>0.13</v>
      </c>
      <c r="D9" s="10" t="n">
        <v>12818.7</v>
      </c>
      <c r="E9" s="20" t="n">
        <v>1666.431</v>
      </c>
      <c r="F9" s="17" t="s">
        <v>120</v>
      </c>
      <c r="G9" s="18" t="n">
        <v>1</v>
      </c>
    </row>
    <row r="10" customFormat="false" ht="15" hidden="false" customHeight="false" outlineLevel="0" collapsed="false">
      <c r="A10" s="17" t="s">
        <v>121</v>
      </c>
      <c r="B10" s="18" t="s">
        <v>119</v>
      </c>
      <c r="C10" s="19" t="n">
        <v>0.2307</v>
      </c>
      <c r="D10" s="10" t="n">
        <v>2687.4</v>
      </c>
      <c r="E10" s="20" t="n">
        <v>619.98318</v>
      </c>
      <c r="F10" s="17" t="s">
        <v>122</v>
      </c>
      <c r="G10" s="18" t="n">
        <v>1</v>
      </c>
    </row>
    <row r="11" customFormat="false" ht="15" hidden="false" customHeight="false" outlineLevel="0" collapsed="false">
      <c r="A11" s="17" t="s">
        <v>69</v>
      </c>
      <c r="B11" s="18" t="s">
        <v>50</v>
      </c>
      <c r="C11" s="19" t="n">
        <v>0.0828</v>
      </c>
      <c r="D11" s="10" t="n">
        <v>4625</v>
      </c>
      <c r="E11" s="20" t="n">
        <v>382.95</v>
      </c>
      <c r="F11" s="17" t="s">
        <v>123</v>
      </c>
      <c r="G11" s="18" t="n">
        <v>1</v>
      </c>
    </row>
    <row r="12" customFormat="false" ht="15" hidden="false" customHeight="false" outlineLevel="0" collapsed="false">
      <c r="A12" s="17" t="s">
        <v>71</v>
      </c>
      <c r="B12" s="18" t="s">
        <v>50</v>
      </c>
      <c r="C12" s="19" t="n">
        <v>0.069</v>
      </c>
      <c r="D12" s="10" t="n">
        <v>2509.4</v>
      </c>
      <c r="E12" s="20" t="n">
        <v>173.1486</v>
      </c>
      <c r="F12" s="17" t="s">
        <v>124</v>
      </c>
      <c r="G12" s="18" t="n">
        <v>1</v>
      </c>
    </row>
    <row r="13" customFormat="false" ht="15" hidden="false" customHeight="false" outlineLevel="0" collapsed="false">
      <c r="A13" s="17" t="s">
        <v>73</v>
      </c>
      <c r="B13" s="18" t="s">
        <v>50</v>
      </c>
      <c r="C13" s="19" t="n">
        <v>0.0481</v>
      </c>
      <c r="D13" s="10" t="n">
        <v>7588.2</v>
      </c>
      <c r="E13" s="20" t="n">
        <v>364.99242</v>
      </c>
      <c r="F13" s="17" t="s">
        <v>125</v>
      </c>
      <c r="G13" s="18" t="n">
        <v>1</v>
      </c>
    </row>
    <row r="14" customFormat="false" ht="15" hidden="false" customHeight="false" outlineLevel="0" collapsed="false">
      <c r="A14" s="17" t="s">
        <v>126</v>
      </c>
      <c r="B14" s="18" t="s">
        <v>50</v>
      </c>
      <c r="C14" s="19" t="n">
        <v>0.0481</v>
      </c>
      <c r="D14" s="10" t="n">
        <v>4800</v>
      </c>
      <c r="E14" s="20" t="n">
        <v>230.88</v>
      </c>
      <c r="F14" s="17" t="s">
        <v>127</v>
      </c>
      <c r="G14" s="18" t="n">
        <v>1</v>
      </c>
    </row>
    <row r="15" customFormat="false" ht="15" hidden="false" customHeight="false" outlineLevel="0" collapsed="false">
      <c r="A15" s="17" t="s">
        <v>79</v>
      </c>
      <c r="B15" s="18" t="s">
        <v>50</v>
      </c>
      <c r="C15" s="19" t="n">
        <v>0.042</v>
      </c>
      <c r="D15" s="10" t="n">
        <v>9523.8</v>
      </c>
      <c r="E15" s="20" t="n">
        <v>399.9996</v>
      </c>
      <c r="F15" s="17" t="s">
        <v>128</v>
      </c>
      <c r="G15" s="18" t="n">
        <v>1</v>
      </c>
    </row>
    <row r="16" customFormat="false" ht="15" hidden="false" customHeight="false" outlineLevel="0" collapsed="false">
      <c r="A16" s="17" t="s">
        <v>129</v>
      </c>
      <c r="B16" s="18" t="s">
        <v>50</v>
      </c>
      <c r="C16" s="19" t="n">
        <v>0.0438</v>
      </c>
      <c r="D16" s="10" t="n">
        <v>356</v>
      </c>
      <c r="E16" s="20" t="n">
        <v>15.5928</v>
      </c>
      <c r="F16" s="17" t="s">
        <v>130</v>
      </c>
      <c r="G16" s="18" t="n">
        <v>1</v>
      </c>
    </row>
    <row r="17" customFormat="false" ht="15" hidden="false" customHeight="false" outlineLevel="0" collapsed="false">
      <c r="A17" s="17" t="s">
        <v>131</v>
      </c>
      <c r="B17" s="18" t="s">
        <v>50</v>
      </c>
      <c r="C17" s="19" t="n">
        <v>0.0208</v>
      </c>
      <c r="D17" s="10" t="n">
        <v>4086.5</v>
      </c>
      <c r="E17" s="20" t="n">
        <v>84.9992</v>
      </c>
      <c r="F17" s="17" t="s">
        <v>132</v>
      </c>
      <c r="G17" s="18" t="n">
        <v>1</v>
      </c>
    </row>
    <row r="18" customFormat="false" ht="15" hidden="false" customHeight="false" outlineLevel="0" collapsed="false">
      <c r="A18" s="17" t="s">
        <v>100</v>
      </c>
      <c r="B18" s="18" t="s">
        <v>50</v>
      </c>
      <c r="C18" s="19" t="n">
        <v>0.0225</v>
      </c>
      <c r="D18" s="10" t="n">
        <v>17921.9</v>
      </c>
      <c r="E18" s="20" t="n">
        <v>403.24275</v>
      </c>
      <c r="F18" s="17" t="s">
        <v>133</v>
      </c>
      <c r="G18" s="18" t="n">
        <v>1</v>
      </c>
    </row>
    <row r="19" customFormat="false" ht="15" hidden="false" customHeight="false" outlineLevel="0" collapsed="false">
      <c r="A19" s="17" t="s">
        <v>134</v>
      </c>
      <c r="B19" s="18" t="s">
        <v>50</v>
      </c>
      <c r="C19" s="19" t="n">
        <v>0.0353</v>
      </c>
      <c r="D19" s="10" t="n">
        <v>1811.4</v>
      </c>
      <c r="E19" s="20" t="n">
        <v>63.94242</v>
      </c>
      <c r="F19" s="17" t="s">
        <v>135</v>
      </c>
      <c r="G19" s="18" t="n">
        <v>1</v>
      </c>
    </row>
    <row r="20" customFormat="false" ht="15" hidden="false" customHeight="false" outlineLevel="0" collapsed="false">
      <c r="A20" s="17" t="s">
        <v>102</v>
      </c>
      <c r="B20" s="18" t="s">
        <v>50</v>
      </c>
      <c r="C20" s="19" t="n">
        <v>0.0311</v>
      </c>
      <c r="D20" s="10" t="n">
        <v>321.6</v>
      </c>
      <c r="E20" s="20" t="n">
        <v>10.00176</v>
      </c>
      <c r="F20" s="17" t="s">
        <v>136</v>
      </c>
      <c r="G20" s="18" t="n">
        <v>1</v>
      </c>
    </row>
    <row r="21" customFormat="false" ht="15" hidden="false" customHeight="false" outlineLevel="0" collapsed="false">
      <c r="A21" s="17" t="s">
        <v>137</v>
      </c>
      <c r="B21" s="18" t="s">
        <v>50</v>
      </c>
      <c r="C21" s="19" t="n">
        <v>0.03049</v>
      </c>
      <c r="D21" s="10" t="n">
        <v>7915.6</v>
      </c>
      <c r="E21" s="20" t="n">
        <v>241.346644</v>
      </c>
      <c r="F21" s="17" t="s">
        <v>138</v>
      </c>
      <c r="G21" s="18" t="n">
        <v>1</v>
      </c>
    </row>
    <row r="22" customFormat="false" ht="15" hidden="false" customHeight="false" outlineLevel="0" collapsed="false">
      <c r="A22" s="17" t="s">
        <v>104</v>
      </c>
      <c r="B22" s="18" t="s">
        <v>50</v>
      </c>
      <c r="C22" s="19" t="n">
        <v>0.03068</v>
      </c>
      <c r="D22" s="10" t="n">
        <v>7238.4</v>
      </c>
      <c r="E22" s="20" t="n">
        <v>222.074112</v>
      </c>
      <c r="F22" s="17" t="s">
        <v>139</v>
      </c>
      <c r="G22" s="18" t="n">
        <v>1</v>
      </c>
    </row>
    <row r="23" customFormat="false" ht="15" hidden="false" customHeight="false" outlineLevel="0" collapsed="false">
      <c r="A23" s="17" t="s">
        <v>140</v>
      </c>
      <c r="B23" s="18" t="s">
        <v>50</v>
      </c>
      <c r="C23" s="19" t="n">
        <v>0.03259</v>
      </c>
      <c r="D23" s="10" t="n">
        <v>3657.2</v>
      </c>
      <c r="E23" s="20" t="n">
        <v>119.188148</v>
      </c>
      <c r="F23" s="17" t="s">
        <v>141</v>
      </c>
      <c r="G23" s="18" t="n">
        <v>1</v>
      </c>
    </row>
    <row r="24" customFormat="false" ht="15" hidden="false" customHeight="false" outlineLevel="0" collapsed="false">
      <c r="A24" s="17" t="s">
        <v>142</v>
      </c>
      <c r="B24" s="18" t="s">
        <v>50</v>
      </c>
      <c r="C24" s="19" t="n">
        <v>0.03112</v>
      </c>
      <c r="D24" s="10" t="n">
        <v>11506.2</v>
      </c>
      <c r="E24" s="20" t="n">
        <v>358.072944</v>
      </c>
      <c r="F24" s="17" t="s">
        <v>143</v>
      </c>
      <c r="G24" s="18" t="n">
        <v>1</v>
      </c>
    </row>
    <row r="25" customFormat="false" ht="15" hidden="false" customHeight="false" outlineLevel="0" collapsed="false">
      <c r="A25" s="17" t="s">
        <v>144</v>
      </c>
      <c r="B25" s="18" t="s">
        <v>50</v>
      </c>
      <c r="C25" s="19" t="n">
        <v>0.03225</v>
      </c>
      <c r="D25" s="10" t="n">
        <v>2964.8</v>
      </c>
      <c r="E25" s="20" t="n">
        <v>95.6148</v>
      </c>
      <c r="F25" s="17" t="s">
        <v>145</v>
      </c>
      <c r="G25" s="18" t="n">
        <v>1</v>
      </c>
    </row>
    <row r="26" customFormat="false" ht="15" hidden="false" customHeight="false" outlineLevel="0" collapsed="false">
      <c r="A26" s="17" t="s">
        <v>146</v>
      </c>
      <c r="B26" s="18" t="s">
        <v>50</v>
      </c>
      <c r="C26" s="19" t="n">
        <v>0.03197</v>
      </c>
      <c r="D26" s="10" t="n">
        <v>689.9</v>
      </c>
      <c r="E26" s="20" t="n">
        <v>22.056103</v>
      </c>
      <c r="F26" s="17" t="s">
        <v>147</v>
      </c>
      <c r="G26" s="18" t="n">
        <v>1</v>
      </c>
    </row>
    <row r="27" customFormat="false" ht="15" hidden="false" customHeight="false" outlineLevel="0" collapsed="false">
      <c r="A27" s="17" t="s">
        <v>148</v>
      </c>
      <c r="B27" s="18" t="s">
        <v>50</v>
      </c>
      <c r="C27" s="19" t="n">
        <v>0.03126</v>
      </c>
      <c r="D27" s="10" t="n">
        <v>15301.3</v>
      </c>
      <c r="E27" s="20" t="n">
        <v>478.318638</v>
      </c>
      <c r="F27" s="17" t="s">
        <v>149</v>
      </c>
      <c r="G27" s="18" t="n">
        <v>1</v>
      </c>
    </row>
    <row r="28" customFormat="false" ht="15" hidden="false" customHeight="false" outlineLevel="0" collapsed="false">
      <c r="A28" s="17" t="s">
        <v>150</v>
      </c>
      <c r="B28" s="18" t="s">
        <v>50</v>
      </c>
      <c r="C28" s="19" t="n">
        <v>0.0296</v>
      </c>
      <c r="D28" s="10" t="n">
        <v>4184.9</v>
      </c>
      <c r="E28" s="20" t="n">
        <v>123.87304</v>
      </c>
      <c r="F28" s="17" t="s">
        <v>151</v>
      </c>
      <c r="G28" s="18" t="n">
        <v>1</v>
      </c>
    </row>
    <row r="29" customFormat="false" ht="15" hidden="false" customHeight="false" outlineLevel="0" collapsed="false">
      <c r="A29" s="17" t="s">
        <v>150</v>
      </c>
      <c r="B29" s="18" t="s">
        <v>50</v>
      </c>
      <c r="C29" s="19" t="n">
        <v>0.0296</v>
      </c>
      <c r="D29" s="10" t="n">
        <v>7169.2</v>
      </c>
      <c r="E29" s="20" t="n">
        <v>212.20832</v>
      </c>
      <c r="F29" s="17" t="s">
        <v>152</v>
      </c>
      <c r="G29" s="18" t="n">
        <v>1</v>
      </c>
    </row>
    <row r="30" customFormat="false" ht="15" hidden="false" customHeight="false" outlineLevel="0" collapsed="false">
      <c r="A30" s="17" t="s">
        <v>153</v>
      </c>
      <c r="B30" s="18" t="s">
        <v>50</v>
      </c>
      <c r="C30" s="19" t="n">
        <v>0.02598</v>
      </c>
      <c r="D30" s="10" t="n">
        <v>29783</v>
      </c>
      <c r="E30" s="20" t="n">
        <v>773.76234</v>
      </c>
      <c r="F30" s="17" t="s">
        <v>154</v>
      </c>
      <c r="G30" s="18" t="n">
        <v>1</v>
      </c>
    </row>
    <row r="32" customFormat="false" ht="15" hidden="false" customHeight="false" outlineLevel="0" collapsed="false">
      <c r="A32" s="21" t="s">
        <v>52</v>
      </c>
    </row>
    <row r="33" customFormat="false" ht="15" hidden="false" customHeight="false" outlineLevel="0" collapsed="false">
      <c r="A33" s="22" t="s">
        <v>53</v>
      </c>
      <c r="E33" s="29" t="n">
        <f aca="false">SUMIFS(D5:D30,B5:B30,"BUY")</f>
        <v>169436.1</v>
      </c>
    </row>
    <row r="34" customFormat="false" ht="15" hidden="false" customHeight="false" outlineLevel="0" collapsed="false">
      <c r="A34" s="22" t="s">
        <v>54</v>
      </c>
      <c r="E34" s="24" t="n">
        <f aca="false">SUMIFS(E5:E30,B5:B30,"BUY")</f>
        <v>6291.913159</v>
      </c>
    </row>
    <row r="35" customFormat="false" ht="15" hidden="false" customHeight="false" outlineLevel="0" collapsed="false">
      <c r="A35" s="14" t="s">
        <v>55</v>
      </c>
      <c r="E35" s="25" t="n">
        <f aca="false">IFERROR(SUMIFS(E5:E30,B5:B30,"BUY")/SUMIFS(D5:D30,B5:B30,"BUY"),"-")</f>
        <v>0.037134430968371</v>
      </c>
    </row>
    <row r="36" customFormat="false" ht="15" hidden="false" customHeight="false" outlineLevel="0" collapsed="false">
      <c r="A36" s="22" t="s">
        <v>56</v>
      </c>
      <c r="E36" s="29" t="n">
        <f aca="false">SUMIFS(D5:D30,B5:B30,"SELL")</f>
        <v>15506.1</v>
      </c>
    </row>
    <row r="37" customFormat="false" ht="15" hidden="false" customHeight="false" outlineLevel="0" collapsed="false">
      <c r="A37" s="22" t="s">
        <v>57</v>
      </c>
      <c r="E37" s="24" t="n">
        <f aca="false">SUMIFS(E5:E30,B5:B30,"SELL")</f>
        <v>2286.41418</v>
      </c>
    </row>
    <row r="38" customFormat="false" ht="15" hidden="false" customHeight="false" outlineLevel="0" collapsed="false">
      <c r="A38" s="22" t="s">
        <v>58</v>
      </c>
      <c r="E38" s="26" t="n">
        <f aca="false">IFERROR(SUMIFS(E5:E30,B5:B30,"SELL")/SUMIFS(D5:D30,B5:B30,"SELL"),"-")</f>
        <v>0.147452562539904</v>
      </c>
    </row>
    <row r="39" customFormat="false" ht="15" hidden="false" customHeight="false" outlineLevel="0" collapsed="false">
      <c r="A39" s="22" t="s">
        <v>59</v>
      </c>
      <c r="E39" s="29" t="n">
        <f aca="false">SUMIFS(D5:D30,B5:B30,"BUY")-SUMIFS(D5:D30,B5:B30,"SELL")</f>
        <v>153930</v>
      </c>
    </row>
    <row r="40" customFormat="false" ht="15" hidden="false" customHeight="false" outlineLevel="0" collapsed="false">
      <c r="A40" s="14" t="s">
        <v>60</v>
      </c>
      <c r="E40" s="30" t="n">
        <v>153764.5785</v>
      </c>
    </row>
    <row r="41" customFormat="false" ht="15" hidden="false" customHeight="false" outlineLevel="0" collapsed="false">
      <c r="A41" s="22" t="s">
        <v>61</v>
      </c>
      <c r="E41" s="24" t="n">
        <f aca="false">SUMIFS(E5:E30,B5:B30,"BUY")-SUMIFS(E5:E30,B5:B30,"SELL")</f>
        <v>4005.498979</v>
      </c>
    </row>
    <row r="42" customFormat="false" ht="15" hidden="false" customHeight="false" outlineLevel="0" collapsed="false">
      <c r="A42" s="14" t="s">
        <v>155</v>
      </c>
      <c r="E42" s="30" t="n">
        <v>200000</v>
      </c>
    </row>
    <row r="43" customFormat="false" ht="15" hidden="false" customHeight="false" outlineLevel="0" collapsed="false">
      <c r="A43" s="14" t="s">
        <v>6</v>
      </c>
      <c r="E43" s="28" t="n">
        <f aca="false">E40/E42</f>
        <v>0.7688228925</v>
      </c>
    </row>
    <row r="45" customFormat="false" ht="15" hidden="false" customHeight="false" outlineLevel="0" collapsed="false">
      <c r="A45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129</v>
      </c>
      <c r="B5" s="18" t="s">
        <v>50</v>
      </c>
      <c r="C5" s="20" t="n">
        <v>125</v>
      </c>
      <c r="D5" s="10" t="n">
        <v>1</v>
      </c>
      <c r="E5" s="20" t="n">
        <v>125</v>
      </c>
      <c r="F5" s="17" t="s">
        <v>158</v>
      </c>
      <c r="G5" s="18" t="n">
        <v>8</v>
      </c>
    </row>
    <row r="6" customFormat="false" ht="15" hidden="false" customHeight="false" outlineLevel="0" collapsed="false">
      <c r="A6" s="17" t="s">
        <v>82</v>
      </c>
      <c r="B6" s="18" t="s">
        <v>50</v>
      </c>
      <c r="C6" s="20" t="n">
        <v>135.7</v>
      </c>
      <c r="D6" s="10" t="n">
        <v>1.02</v>
      </c>
      <c r="E6" s="20" t="n">
        <v>138.41</v>
      </c>
      <c r="F6" s="17" t="s">
        <v>159</v>
      </c>
      <c r="G6" s="18" t="n">
        <v>1</v>
      </c>
    </row>
    <row r="7" customFormat="false" ht="15" hidden="false" customHeight="false" outlineLevel="0" collapsed="false">
      <c r="A7" s="17" t="s">
        <v>85</v>
      </c>
      <c r="B7" s="18" t="s">
        <v>50</v>
      </c>
      <c r="C7" s="20" t="n">
        <v>138.99</v>
      </c>
      <c r="D7" s="10" t="n">
        <v>2.462</v>
      </c>
      <c r="E7" s="20" t="n">
        <v>342.19</v>
      </c>
      <c r="F7" s="17" t="s">
        <v>160</v>
      </c>
      <c r="G7" s="18" t="n">
        <v>1</v>
      </c>
    </row>
    <row r="8" customFormat="false" ht="15" hidden="false" customHeight="false" outlineLevel="0" collapsed="false">
      <c r="A8" s="17" t="s">
        <v>161</v>
      </c>
      <c r="B8" s="18" t="s">
        <v>50</v>
      </c>
      <c r="C8" s="20" t="n">
        <v>114.21</v>
      </c>
      <c r="D8" s="10" t="n">
        <v>3.141</v>
      </c>
      <c r="E8" s="20" t="n">
        <v>358.73</v>
      </c>
      <c r="F8" s="17" t="s">
        <v>162</v>
      </c>
      <c r="G8" s="18" t="n">
        <v>1</v>
      </c>
    </row>
    <row r="9" customFormat="false" ht="15" hidden="false" customHeight="false" outlineLevel="0" collapsed="false">
      <c r="A9" s="17" t="s">
        <v>163</v>
      </c>
      <c r="B9" s="18" t="s">
        <v>50</v>
      </c>
      <c r="C9" s="20" t="n">
        <v>99.05</v>
      </c>
      <c r="D9" s="10" t="n">
        <v>2.226</v>
      </c>
      <c r="E9" s="20" t="n">
        <v>220.49</v>
      </c>
      <c r="F9" s="17" t="s">
        <v>164</v>
      </c>
      <c r="G9" s="18" t="n">
        <v>1</v>
      </c>
    </row>
    <row r="10" customFormat="false" ht="15" hidden="false" customHeight="false" outlineLevel="0" collapsed="false">
      <c r="A10" s="17" t="s">
        <v>165</v>
      </c>
      <c r="B10" s="18" t="s">
        <v>50</v>
      </c>
      <c r="C10" s="20" t="n">
        <v>97.03</v>
      </c>
      <c r="D10" s="10" t="n">
        <v>0.15</v>
      </c>
      <c r="E10" s="20" t="n">
        <v>14.55</v>
      </c>
      <c r="F10" s="17" t="s">
        <v>166</v>
      </c>
      <c r="G10" s="18" t="n">
        <v>1</v>
      </c>
    </row>
    <row r="11" customFormat="false" ht="15" hidden="false" customHeight="false" outlineLevel="0" collapsed="false">
      <c r="A11" s="17" t="s">
        <v>96</v>
      </c>
      <c r="B11" s="18" t="s">
        <v>50</v>
      </c>
      <c r="C11" s="20" t="n">
        <v>84.85</v>
      </c>
      <c r="D11" s="10" t="n">
        <v>1</v>
      </c>
      <c r="E11" s="20" t="n">
        <v>84.85</v>
      </c>
      <c r="F11" s="17" t="s">
        <v>158</v>
      </c>
      <c r="G11" s="18" t="n">
        <v>2</v>
      </c>
    </row>
    <row r="12" customFormat="false" ht="15" hidden="false" customHeight="false" outlineLevel="0" collapsed="false">
      <c r="A12" s="17" t="s">
        <v>104</v>
      </c>
      <c r="B12" s="18" t="s">
        <v>50</v>
      </c>
      <c r="C12" s="20" t="n">
        <v>65.46</v>
      </c>
      <c r="D12" s="10" t="n">
        <v>1</v>
      </c>
      <c r="E12" s="20" t="n">
        <v>65.46</v>
      </c>
      <c r="F12" s="17" t="s">
        <v>158</v>
      </c>
      <c r="G12" s="18" t="n">
        <v>1</v>
      </c>
    </row>
    <row r="13" customFormat="false" ht="15" hidden="false" customHeight="false" outlineLevel="0" collapsed="false">
      <c r="A13" s="17" t="s">
        <v>107</v>
      </c>
      <c r="B13" s="18" t="s">
        <v>50</v>
      </c>
      <c r="C13" s="20" t="n">
        <v>73.56</v>
      </c>
      <c r="D13" s="10" t="n">
        <v>3.1</v>
      </c>
      <c r="E13" s="20" t="n">
        <v>228.04</v>
      </c>
      <c r="F13" s="17" t="s">
        <v>167</v>
      </c>
      <c r="G13" s="18" t="n">
        <v>1</v>
      </c>
    </row>
    <row r="15" customFormat="false" ht="15" hidden="false" customHeight="false" outlineLevel="0" collapsed="false">
      <c r="A15" s="21" t="s">
        <v>52</v>
      </c>
    </row>
    <row r="16" customFormat="false" ht="15" hidden="false" customHeight="false" outlineLevel="0" collapsed="false">
      <c r="A16" s="22" t="s">
        <v>53</v>
      </c>
      <c r="E16" s="29" t="n">
        <f aca="false">SUMIFS(D5:D13,B5:B13,"BUY")</f>
        <v>15.099</v>
      </c>
    </row>
    <row r="17" customFormat="false" ht="15" hidden="false" customHeight="false" outlineLevel="0" collapsed="false">
      <c r="A17" s="22" t="s">
        <v>54</v>
      </c>
      <c r="E17" s="24" t="n">
        <f aca="false">SUMIFS(E5:E13,B5:B13,"BUY")</f>
        <v>1577.72</v>
      </c>
    </row>
    <row r="18" customFormat="false" ht="15" hidden="false" customHeight="false" outlineLevel="0" collapsed="false">
      <c r="A18" s="14" t="s">
        <v>55</v>
      </c>
      <c r="E18" s="15" t="n">
        <f aca="false">IFERROR(SUMIFS(E5:E13,B5:B13,"BUY")/SUMIFS(D5:D13,B5:B13,"BUY"),"-")</f>
        <v>104.491688191271</v>
      </c>
    </row>
    <row r="19" customFormat="false" ht="15" hidden="false" customHeight="false" outlineLevel="0" collapsed="false">
      <c r="A19" s="22" t="s">
        <v>56</v>
      </c>
      <c r="E19" s="29" t="n">
        <f aca="false">SUMIFS(D5:D13,B5:B13,"SELL")</f>
        <v>0</v>
      </c>
    </row>
    <row r="20" customFormat="false" ht="15" hidden="false" customHeight="false" outlineLevel="0" collapsed="false">
      <c r="A20" s="22" t="s">
        <v>57</v>
      </c>
      <c r="E20" s="24" t="n">
        <f aca="false">SUMIFS(E5:E13,B5:B13,"SELL")</f>
        <v>0</v>
      </c>
    </row>
    <row r="21" customFormat="false" ht="15" hidden="false" customHeight="false" outlineLevel="0" collapsed="false">
      <c r="A21" s="22" t="s">
        <v>58</v>
      </c>
      <c r="E21" s="24" t="str">
        <f aca="false">IFERROR(SUMIFS(E5:E13,B5:B13,"SELL")/SUMIFS(D5:D13,B5:B13,"SELL"),"-")</f>
        <v>-</v>
      </c>
    </row>
    <row r="22" customFormat="false" ht="15" hidden="false" customHeight="false" outlineLevel="0" collapsed="false">
      <c r="A22" s="22" t="s">
        <v>59</v>
      </c>
      <c r="E22" s="29" t="n">
        <f aca="false">SUMIFS(D5:D13,B5:B13,"BUY")-SUMIFS(D5:D13,B5:B13,"SELL")</f>
        <v>15.099</v>
      </c>
    </row>
    <row r="23" customFormat="false" ht="15" hidden="false" customHeight="false" outlineLevel="0" collapsed="false">
      <c r="A23" s="14" t="s">
        <v>60</v>
      </c>
      <c r="E23" s="30" t="n">
        <v>15.083901</v>
      </c>
    </row>
    <row r="24" customFormat="false" ht="15" hidden="false" customHeight="false" outlineLevel="0" collapsed="false">
      <c r="A24" s="22" t="s">
        <v>61</v>
      </c>
      <c r="E24" s="24" t="n">
        <f aca="false">SUMIFS(E5:E13,B5:B13,"BUY")-SUMIFS(E5:E13,B5:B13,"SELL")</f>
        <v>1577.72</v>
      </c>
    </row>
    <row r="25" customFormat="false" ht="15" hidden="false" customHeight="false" outlineLevel="0" collapsed="false">
      <c r="A25" s="14" t="s">
        <v>168</v>
      </c>
      <c r="E25" s="30" t="n">
        <v>40</v>
      </c>
    </row>
    <row r="26" customFormat="false" ht="15" hidden="false" customHeight="false" outlineLevel="0" collapsed="false">
      <c r="A26" s="14" t="s">
        <v>6</v>
      </c>
      <c r="E26" s="28" t="n">
        <f aca="false">E23/E25</f>
        <v>0.377097525</v>
      </c>
    </row>
    <row r="28" customFormat="false" ht="15" hidden="false" customHeight="false" outlineLevel="0" collapsed="false">
      <c r="A28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67</v>
      </c>
      <c r="B5" s="18" t="s">
        <v>50</v>
      </c>
      <c r="C5" s="20" t="n">
        <v>18.53</v>
      </c>
      <c r="D5" s="10" t="n">
        <v>10</v>
      </c>
      <c r="E5" s="20" t="n">
        <v>185.3</v>
      </c>
      <c r="F5" s="17" t="s">
        <v>170</v>
      </c>
      <c r="G5" s="18" t="n">
        <v>1</v>
      </c>
    </row>
    <row r="6" customFormat="false" ht="15" hidden="false" customHeight="false" outlineLevel="0" collapsed="false">
      <c r="A6" s="17" t="s">
        <v>71</v>
      </c>
      <c r="B6" s="18" t="s">
        <v>50</v>
      </c>
      <c r="C6" s="20" t="n">
        <v>13.74</v>
      </c>
      <c r="D6" s="10" t="n">
        <v>10</v>
      </c>
      <c r="E6" s="20" t="n">
        <v>137.4</v>
      </c>
      <c r="F6" s="17" t="s">
        <v>170</v>
      </c>
      <c r="G6" s="18" t="n">
        <v>1</v>
      </c>
    </row>
    <row r="7" customFormat="false" ht="15" hidden="false" customHeight="false" outlineLevel="0" collapsed="false">
      <c r="A7" s="17" t="s">
        <v>129</v>
      </c>
      <c r="B7" s="18" t="s">
        <v>50</v>
      </c>
      <c r="C7" s="20" t="n">
        <v>12.24</v>
      </c>
      <c r="D7" s="10" t="n">
        <v>2.45</v>
      </c>
      <c r="E7" s="20" t="n">
        <v>29.99</v>
      </c>
      <c r="F7" s="17" t="s">
        <v>171</v>
      </c>
      <c r="G7" s="18" t="n">
        <v>1</v>
      </c>
    </row>
    <row r="8" customFormat="false" ht="15" hidden="false" customHeight="false" outlineLevel="0" collapsed="false">
      <c r="A8" s="17" t="s">
        <v>82</v>
      </c>
      <c r="B8" s="18" t="s">
        <v>50</v>
      </c>
      <c r="C8" s="20" t="n">
        <v>13.6</v>
      </c>
      <c r="D8" s="10" t="n">
        <v>13.03</v>
      </c>
      <c r="E8" s="20" t="n">
        <v>177.21</v>
      </c>
      <c r="F8" s="17" t="s">
        <v>172</v>
      </c>
      <c r="G8" s="18" t="n">
        <v>1</v>
      </c>
    </row>
    <row r="9" customFormat="false" ht="15" hidden="false" customHeight="false" outlineLevel="0" collapsed="false">
      <c r="A9" s="17" t="s">
        <v>96</v>
      </c>
      <c r="B9" s="18" t="s">
        <v>50</v>
      </c>
      <c r="C9" s="20" t="n">
        <v>8.59</v>
      </c>
      <c r="D9" s="10" t="n">
        <v>15</v>
      </c>
      <c r="E9" s="20" t="n">
        <v>128.85</v>
      </c>
      <c r="F9" s="17" t="s">
        <v>173</v>
      </c>
      <c r="G9" s="18" t="n">
        <v>1</v>
      </c>
    </row>
    <row r="11" customFormat="false" ht="15" hidden="false" customHeight="false" outlineLevel="0" collapsed="false">
      <c r="A11" s="21" t="s">
        <v>52</v>
      </c>
    </row>
    <row r="12" customFormat="false" ht="15" hidden="false" customHeight="false" outlineLevel="0" collapsed="false">
      <c r="A12" s="22" t="s">
        <v>53</v>
      </c>
      <c r="E12" s="29" t="n">
        <f aca="false">SUMIFS(D5:D9,B5:B9,"BUY")</f>
        <v>50.48</v>
      </c>
    </row>
    <row r="13" customFormat="false" ht="15" hidden="false" customHeight="false" outlineLevel="0" collapsed="false">
      <c r="A13" s="22" t="s">
        <v>54</v>
      </c>
      <c r="E13" s="24" t="n">
        <f aca="false">SUMIFS(E5:E9,B5:B9,"BUY")</f>
        <v>658.75</v>
      </c>
    </row>
    <row r="14" customFormat="false" ht="15" hidden="false" customHeight="false" outlineLevel="0" collapsed="false">
      <c r="A14" s="14" t="s">
        <v>55</v>
      </c>
      <c r="E14" s="15" t="n">
        <f aca="false">IFERROR(SUMIFS(E5:E9,B5:B9,"BUY")/SUMIFS(D5:D9,B5:B9,"BUY"),"-")</f>
        <v>13.0497226624406</v>
      </c>
    </row>
    <row r="15" customFormat="false" ht="15" hidden="false" customHeight="false" outlineLevel="0" collapsed="false">
      <c r="A15" s="22" t="s">
        <v>56</v>
      </c>
      <c r="E15" s="29" t="n">
        <f aca="false">SUMIFS(D5:D9,B5:B9,"SELL")</f>
        <v>0</v>
      </c>
    </row>
    <row r="16" customFormat="false" ht="15" hidden="false" customHeight="false" outlineLevel="0" collapsed="false">
      <c r="A16" s="22" t="s">
        <v>57</v>
      </c>
      <c r="E16" s="24" t="n">
        <f aca="false">SUMIFS(E5:E9,B5:B9,"SELL")</f>
        <v>0</v>
      </c>
    </row>
    <row r="17" customFormat="false" ht="15" hidden="false" customHeight="false" outlineLevel="0" collapsed="false">
      <c r="A17" s="22" t="s">
        <v>58</v>
      </c>
      <c r="E17" s="24" t="str">
        <f aca="false">IFERROR(SUMIFS(E5:E9,B5:B9,"SELL")/SUMIFS(D5:D9,B5:B9,"SELL"),"-")</f>
        <v>-</v>
      </c>
    </row>
    <row r="18" customFormat="false" ht="15" hidden="false" customHeight="false" outlineLevel="0" collapsed="false">
      <c r="A18" s="22" t="s">
        <v>59</v>
      </c>
      <c r="E18" s="29" t="n">
        <f aca="false">SUMIFS(D5:D9,B5:B9,"BUY")-SUMIFS(D5:D9,B5:B9,"SELL")</f>
        <v>50.48</v>
      </c>
    </row>
    <row r="19" customFormat="false" ht="15" hidden="false" customHeight="false" outlineLevel="0" collapsed="false">
      <c r="A19" s="14" t="s">
        <v>60</v>
      </c>
      <c r="E19" s="30" t="n">
        <v>50.42952</v>
      </c>
    </row>
    <row r="20" customFormat="false" ht="15" hidden="false" customHeight="false" outlineLevel="0" collapsed="false">
      <c r="A20" s="22" t="s">
        <v>61</v>
      </c>
      <c r="E20" s="24" t="n">
        <f aca="false">SUMIFS(E5:E9,B5:B9,"BUY")-SUMIFS(E5:E9,B5:B9,"SELL")</f>
        <v>658.75</v>
      </c>
    </row>
    <row r="21" customFormat="false" ht="15" hidden="false" customHeight="false" outlineLevel="0" collapsed="false">
      <c r="A21" s="14" t="s">
        <v>174</v>
      </c>
      <c r="E21" s="30" t="n">
        <v>500</v>
      </c>
    </row>
    <row r="22" customFormat="false" ht="15" hidden="false" customHeight="false" outlineLevel="0" collapsed="false">
      <c r="A22" s="14" t="s">
        <v>6</v>
      </c>
      <c r="E22" s="28" t="n">
        <f aca="false">E19/E21</f>
        <v>0.10085904</v>
      </c>
    </row>
    <row r="24" customFormat="false" ht="15" hidden="false" customHeight="false" outlineLevel="0" collapsed="false">
      <c r="A24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7.1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17" t="s">
        <v>176</v>
      </c>
      <c r="B5" s="18" t="s">
        <v>50</v>
      </c>
      <c r="C5" s="20" t="n">
        <v>5.136</v>
      </c>
      <c r="D5" s="10" t="n">
        <v>19.46</v>
      </c>
      <c r="E5" s="20" t="n">
        <v>99.95</v>
      </c>
      <c r="F5" s="17" t="s">
        <v>177</v>
      </c>
      <c r="G5" s="18" t="n">
        <v>1</v>
      </c>
    </row>
    <row r="6" customFormat="false" ht="15" hidden="false" customHeight="false" outlineLevel="0" collapsed="false">
      <c r="A6" s="17" t="s">
        <v>178</v>
      </c>
      <c r="B6" s="18" t="s">
        <v>50</v>
      </c>
      <c r="C6" s="20" t="n">
        <v>4.952</v>
      </c>
      <c r="D6" s="10" t="n">
        <v>94.58</v>
      </c>
      <c r="E6" s="20" t="n">
        <v>468.36</v>
      </c>
      <c r="F6" s="17" t="s">
        <v>179</v>
      </c>
      <c r="G6" s="18" t="n">
        <v>4</v>
      </c>
    </row>
    <row r="7" customFormat="false" ht="15" hidden="false" customHeight="false" outlineLevel="0" collapsed="false">
      <c r="A7" s="17" t="s">
        <v>180</v>
      </c>
      <c r="B7" s="18" t="s">
        <v>119</v>
      </c>
      <c r="C7" s="20" t="n">
        <v>9.635</v>
      </c>
      <c r="D7" s="10" t="n">
        <v>113.94</v>
      </c>
      <c r="E7" s="20" t="n">
        <v>1097.81</v>
      </c>
      <c r="F7" s="17" t="s">
        <v>181</v>
      </c>
      <c r="G7" s="18" t="n">
        <v>5</v>
      </c>
    </row>
    <row r="8" customFormat="false" ht="15" hidden="false" customHeight="false" outlineLevel="0" collapsed="false">
      <c r="A8" s="17" t="s">
        <v>67</v>
      </c>
      <c r="B8" s="18" t="s">
        <v>50</v>
      </c>
      <c r="C8" s="20" t="n">
        <v>2.743</v>
      </c>
      <c r="D8" s="10" t="n">
        <v>20</v>
      </c>
      <c r="E8" s="20" t="n">
        <v>54.86</v>
      </c>
      <c r="F8" s="17" t="s">
        <v>182</v>
      </c>
      <c r="G8" s="18" t="n">
        <v>1</v>
      </c>
    </row>
    <row r="9" customFormat="false" ht="15" hidden="false" customHeight="false" outlineLevel="0" collapsed="false">
      <c r="A9" s="17" t="s">
        <v>71</v>
      </c>
      <c r="B9" s="18" t="s">
        <v>50</v>
      </c>
      <c r="C9" s="20" t="n">
        <v>2.085</v>
      </c>
      <c r="D9" s="10" t="n">
        <v>30</v>
      </c>
      <c r="E9" s="20" t="n">
        <v>62.55</v>
      </c>
      <c r="F9" s="17" t="s">
        <v>183</v>
      </c>
      <c r="G9" s="18" t="n">
        <v>1</v>
      </c>
    </row>
    <row r="10" customFormat="false" ht="15" hidden="false" customHeight="false" outlineLevel="0" collapsed="false">
      <c r="A10" s="17" t="s">
        <v>184</v>
      </c>
      <c r="B10" s="18" t="s">
        <v>50</v>
      </c>
      <c r="C10" s="20" t="n">
        <v>1.596</v>
      </c>
      <c r="D10" s="10" t="n">
        <v>22.94</v>
      </c>
      <c r="E10" s="20" t="n">
        <v>36.61</v>
      </c>
      <c r="F10" s="17" t="s">
        <v>185</v>
      </c>
      <c r="G10" s="18" t="n">
        <v>1</v>
      </c>
    </row>
    <row r="11" customFormat="false" ht="15" hidden="false" customHeight="false" outlineLevel="0" collapsed="false">
      <c r="A11" s="17" t="s">
        <v>186</v>
      </c>
      <c r="B11" s="18" t="s">
        <v>50</v>
      </c>
      <c r="C11" s="20" t="n">
        <v>1.577</v>
      </c>
      <c r="D11" s="10" t="n">
        <v>231.52</v>
      </c>
      <c r="E11" s="20" t="n">
        <v>365.11</v>
      </c>
      <c r="F11" s="17" t="s">
        <v>187</v>
      </c>
      <c r="G11" s="18" t="n">
        <v>2</v>
      </c>
    </row>
    <row r="12" customFormat="false" ht="15" hidden="false" customHeight="false" outlineLevel="0" collapsed="false">
      <c r="A12" s="17" t="s">
        <v>188</v>
      </c>
      <c r="B12" s="18" t="s">
        <v>119</v>
      </c>
      <c r="C12" s="20" t="n">
        <v>1.825</v>
      </c>
      <c r="D12" s="10" t="n">
        <v>304.37</v>
      </c>
      <c r="E12" s="20" t="n">
        <v>555.48</v>
      </c>
      <c r="F12" s="17" t="s">
        <v>189</v>
      </c>
      <c r="G12" s="18" t="n">
        <v>3</v>
      </c>
    </row>
    <row r="13" customFormat="false" ht="15" hidden="false" customHeight="false" outlineLevel="0" collapsed="false">
      <c r="A13" s="17" t="s">
        <v>107</v>
      </c>
      <c r="B13" s="18" t="s">
        <v>50</v>
      </c>
      <c r="C13" s="20" t="n">
        <v>1.334</v>
      </c>
      <c r="D13" s="10" t="n">
        <v>181.28</v>
      </c>
      <c r="E13" s="20" t="n">
        <v>241.83</v>
      </c>
      <c r="F13" s="17" t="s">
        <v>190</v>
      </c>
      <c r="G13" s="18" t="n">
        <v>2</v>
      </c>
    </row>
    <row r="15" customFormat="false" ht="15" hidden="false" customHeight="false" outlineLevel="0" collapsed="false">
      <c r="A15" s="21" t="s">
        <v>52</v>
      </c>
    </row>
    <row r="16" customFormat="false" ht="15" hidden="false" customHeight="false" outlineLevel="0" collapsed="false">
      <c r="A16" s="22" t="s">
        <v>53</v>
      </c>
      <c r="E16" s="29" t="n">
        <f aca="false">SUMIFS(D5:D13,B5:B13,"BUY")</f>
        <v>599.78</v>
      </c>
    </row>
    <row r="17" customFormat="false" ht="15" hidden="false" customHeight="false" outlineLevel="0" collapsed="false">
      <c r="A17" s="22" t="s">
        <v>54</v>
      </c>
      <c r="E17" s="24" t="n">
        <f aca="false">SUMIFS(E5:E13,B5:B13,"BUY")</f>
        <v>1329.27</v>
      </c>
    </row>
    <row r="18" customFormat="false" ht="15" hidden="false" customHeight="false" outlineLevel="0" collapsed="false">
      <c r="A18" s="14" t="s">
        <v>55</v>
      </c>
      <c r="E18" s="15" t="n">
        <f aca="false">IFERROR(SUMIFS(E5:E13,B5:B13,"BUY")/SUMIFS(D5:D13,B5:B13,"BUY"),"-")</f>
        <v>2.21626262963086</v>
      </c>
    </row>
    <row r="19" customFormat="false" ht="15" hidden="false" customHeight="false" outlineLevel="0" collapsed="false">
      <c r="A19" s="22" t="s">
        <v>56</v>
      </c>
      <c r="E19" s="29" t="n">
        <f aca="false">SUMIFS(D5:D13,B5:B13,"SELL")</f>
        <v>418.31</v>
      </c>
    </row>
    <row r="20" customFormat="false" ht="15" hidden="false" customHeight="false" outlineLevel="0" collapsed="false">
      <c r="A20" s="22" t="s">
        <v>57</v>
      </c>
      <c r="E20" s="24" t="n">
        <f aca="false">SUMIFS(E5:E13,B5:B13,"SELL")</f>
        <v>1653.29</v>
      </c>
    </row>
    <row r="21" customFormat="false" ht="15" hidden="false" customHeight="false" outlineLevel="0" collapsed="false">
      <c r="A21" s="22" t="s">
        <v>58</v>
      </c>
      <c r="E21" s="24" t="n">
        <f aca="false">IFERROR(SUMIFS(E5:E13,B5:B13,"SELL")/SUMIFS(D5:D13,B5:B13,"SELL"),"-")</f>
        <v>3.95230809686596</v>
      </c>
    </row>
    <row r="22" customFormat="false" ht="15" hidden="false" customHeight="false" outlineLevel="0" collapsed="false">
      <c r="A22" s="22" t="s">
        <v>59</v>
      </c>
      <c r="E22" s="29" t="n">
        <f aca="false">SUMIFS(D5:D13,B5:B13,"BUY")-SUMIFS(D5:D13,B5:B13,"SELL")</f>
        <v>181.47</v>
      </c>
    </row>
    <row r="23" customFormat="false" ht="15" hidden="false" customHeight="false" outlineLevel="0" collapsed="false">
      <c r="A23" s="14" t="s">
        <v>60</v>
      </c>
      <c r="E23" s="30" t="n">
        <v>180.8971</v>
      </c>
    </row>
    <row r="24" customFormat="false" ht="15" hidden="false" customHeight="false" outlineLevel="0" collapsed="false">
      <c r="A24" s="22" t="s">
        <v>61</v>
      </c>
      <c r="E24" s="24" t="n">
        <f aca="false">SUMIFS(E5:E13,B5:B13,"BUY")-SUMIFS(E5:E13,B5:B13,"SELL")</f>
        <v>-324.02</v>
      </c>
    </row>
    <row r="26" customFormat="false" ht="15" hidden="false" customHeight="false" outlineLevel="0" collapsed="false">
      <c r="A26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2026-08-14T12:03:50Z</dcterms:created>
  <dc:creator>openpyxl</dc:creator>
  <dc:description/>
  <dc:language>en-US</dc:language>
  <cp:lastModifiedBy/>
  <dcterms:modified xsi:type="dcterms:W3CDTF">2026-08-14T12:03:50Z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